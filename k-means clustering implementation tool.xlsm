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featurePropertyBag/featurePropertyBag.xml" ContentType="application/vnd.ms-excel.featurepropertybag+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tobyh\Documents\1_EDUCATION\_VGU\SECOND YEAR\5. BWIN - Business Information Systems\VBA tool\"/>
    </mc:Choice>
  </mc:AlternateContent>
  <xr:revisionPtr revIDLastSave="0" documentId="13_ncr:1_{8C009AA3-E1C8-4559-8AC3-8DCB9248E845}" xr6:coauthVersionLast="47" xr6:coauthVersionMax="47" xr10:uidLastSave="{00000000-0000-0000-0000-000000000000}"/>
  <bookViews>
    <workbookView xWindow="-108" yWindow="-108" windowWidth="23256" windowHeight="13176" tabRatio="717" activeTab="2" xr2:uid="{28009FD5-A765-49A1-A26E-5C40804FB682}"/>
  </bookViews>
  <sheets>
    <sheet name="Data_Internal" sheetId="9" r:id="rId1"/>
    <sheet name="ABOUT" sheetId="1" r:id="rId2"/>
    <sheet name="HOME" sheetId="2" r:id="rId3"/>
    <sheet name="RESULT_TABLE" sheetId="8" r:id="rId4"/>
    <sheet name="Raw_Data" sheetId="3" r:id="rId5"/>
    <sheet name="Standard" sheetId="5" r:id="rId6"/>
    <sheet name="Centroid" sheetId="11" r:id="rId7"/>
    <sheet name="Distance" sheetId="6" r:id="rId8"/>
    <sheet name="Progress_hist" sheetId="7" r:id="rId9"/>
    <sheet name="alg_Internal" sheetId="12" r:id="rId10"/>
    <sheet name="chart_Internal" sheetId="10" state="hidden" r:id="rId11"/>
  </sheets>
  <functionGroups builtInGroupCount="19"/>
  <definedNames>
    <definedName name="_xlnm._FilterDatabase" localSheetId="6" hidden="1">Centroid!$A$8:$C$15</definedName>
    <definedName name="_xlnm._FilterDatabase" localSheetId="8" hidden="1">Progress_hist!$A$1:$D$6</definedName>
    <definedName name="_xleta.COUNTA" hidden="1" xlm="1">#NAME?</definedName>
    <definedName name="_xleta.DATE" hidden="1" xlm="1">#NAME?</definedName>
    <definedName name="_xleta.EDATE" hidden="1" xlm="1">#NAME?</definedName>
    <definedName name="_xleta.IF" hidden="1" xlm="1">#NAME?</definedName>
    <definedName name="_xleta.IFERROR" hidden="1" xlm="1">#NAME?</definedName>
    <definedName name="_xleta.IFNA" hidden="1" xlm="1">#NAME?</definedName>
    <definedName name="_xleta.LEFT" hidden="1" xlm="1">#NAME?</definedName>
    <definedName name="_xleta.LOG" hidden="1" xlm="1">#NAME?</definedName>
    <definedName name="_xleta.MATCH" hidden="1" xlm="1">#NAME?</definedName>
    <definedName name="_xleta.NA" hidden="1" xlm="1">#NAME?</definedName>
    <definedName name="_xleta.TYPE" hidden="1" xlm="1">#NAME?</definedName>
    <definedName name="_xleta.VALUE" hidden="1" xlm="1">#NAME?</definedName>
    <definedName name="_xleta.VSTACK" hidden="1" xlm="1">#NAME?</definedName>
    <definedName name="_xlpm.exist" hidden="1" xlm="1">#NAME?</definedName>
    <definedName name="_xlpm.exists" hidden="1" xlm="1">#NAME?</definedName>
    <definedName name="_xlpm.fflt" hidden="1" xlm="1">#NAME?</definedName>
    <definedName name="_xlpm.flt" hidden="1" xlm="1">#NAME?</definedName>
    <definedName name="allowNormal">HOME!$E$14</definedName>
    <definedName name="axisX">HOME!$E$25</definedName>
    <definedName name="axisY">HOME!$E$26</definedName>
    <definedName name="balanceNeed">HOME!$E$9</definedName>
    <definedName name="cateVarList" comment="List of categorical variables for coloring in scatter plot.">_xlfn.ANCHORARRAY(Data_Internal!$J$13)</definedName>
    <definedName name="cBlank">Data_Internal!$D$9</definedName>
    <definedName name="cDuplicated">Data_Internal!$F$9</definedName>
    <definedName name="colCluster">Data_Internal!$J$9</definedName>
    <definedName name="colorBy">HOME!$E$29</definedName>
    <definedName name="colRaw">Data_Internal!$B$9</definedName>
    <definedName name="correctAssignment">Centroid!$F$5</definedName>
    <definedName name="ExternalData_1" localSheetId="4">Raw_Data!$A$1:$N$604</definedName>
    <definedName name="ExternalData_2" localSheetId="4">Raw_Data!$A$1:$E$151</definedName>
    <definedName name="ExternalData_3" localSheetId="4">Raw_Data!$A$1:$N$179</definedName>
    <definedName name="ExternalData_4" localSheetId="4">Raw_Data!$A$1:$E$151</definedName>
    <definedName name="ExternalData_5" localSheetId="4">Raw_Data!$A$1:$E$151</definedName>
    <definedName name="ExternalData_6" localSheetId="4">Raw_Data!$A$1:$E$151</definedName>
    <definedName name="finalIteration">Centroid!$E$3</definedName>
    <definedName name="InitialMethod">HOME!$E$17</definedName>
    <definedName name="iterMax">HOME!$E$19</definedName>
    <definedName name="iterRerun">HOME!$E$18</definedName>
    <definedName name="iterTrace">Centroid!$C$3</definedName>
    <definedName name="kValue">HOME!$E$8</definedName>
    <definedName name="numVarList" comment="List of numerical variable for plotting.">_xlfn.ANCHORARRAY(Data_Internal!$I$13)</definedName>
    <definedName name="rDuplicated">Data_Internal!$F$8</definedName>
    <definedName name="rMismatched">Data_Internal!$H$8</definedName>
    <definedName name="rMissing">Data_Internal!$D$8</definedName>
    <definedName name="rowCluster">Data_Internal!$J$8</definedName>
    <definedName name="rowRaw">Data_Internal!$B$8</definedName>
    <definedName name="silLowerBound">HOME!$C$11</definedName>
    <definedName name="silUpperBound">HOME!$E$11</definedName>
    <definedName name="silUsed">HOME!$E$10</definedName>
    <definedName name="SSE">Centroid!$C$5</definedName>
    <definedName name="Status_list">Data_Internal!$A$1:$C$5</definedName>
    <definedName name="statusCell" comment="This is where the program updates its status to users.">HOME!$S$2</definedName>
    <definedName name="statusCnvrg">Centroid!$E$5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9" l="1" a="1"/>
  <c r="J13" i="9" s="1"/>
  <c r="H9" i="9"/>
  <c r="D10" i="9"/>
  <c r="J9" i="9" s="1"/>
  <c r="I13" i="9" a="1"/>
  <c r="I13" i="9" s="1"/>
  <c r="R2" i="2"/>
  <c r="F1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hg Tobiez</author>
  </authors>
  <commentList>
    <comment ref="Q2" authorId="0" shapeId="0" xr:uid="{EC35C64A-5D89-4A72-B915-07F1749B7CCE}">
      <text>
        <r>
          <rPr>
            <sz val="9"/>
            <color indexed="81"/>
            <rFont val="Tahoma"/>
            <family val="2"/>
          </rPr>
          <t>You can see the progress status here.
When a macro is running, it would show "In Progress".
When the macro is done, it would show "Finished".
When an input action required, it would display "Pause".
When there is an error, "Error" would be displayed.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hg Tobiez</author>
  </authors>
  <commentList>
    <comment ref="E3" authorId="0" shapeId="0" xr:uid="{2037D5D5-249A-4F1B-9737-2371456C25CD}">
      <text>
        <r>
          <rPr>
            <b/>
            <sz val="9"/>
            <color indexed="81"/>
            <rFont val="Tahoma"/>
            <family val="2"/>
          </rPr>
          <t>If this cell is blank, the k-means clustering algorithm has not been implemented.
If not it is the total iteration required in the clustering process.</t>
        </r>
      </text>
    </comment>
    <comment ref="C5" authorId="0" shapeId="0" xr:uid="{7C2EBFB9-7FE8-4A79-A3DC-09F67A940E0D}">
      <text>
        <r>
          <rPr>
            <b/>
            <sz val="9"/>
            <color indexed="81"/>
            <rFont val="Tahoma"/>
            <family val="2"/>
          </rPr>
          <t>Represents the sum of squared distances from each data point to its assigned cluster centroid. It measures how well the data points are clustered around their centroids—the lower the WCSS the better the clustering, as it indicates that data points are closer to their centroids.</t>
        </r>
      </text>
    </comment>
    <comment ref="E5" authorId="0" shapeId="0" xr:uid="{DFB3765C-2ABC-4B71-80B2-D1B6F98350A3}">
      <text>
        <r>
          <rPr>
            <b/>
            <sz val="9"/>
            <color indexed="81"/>
            <rFont val="Tahoma"/>
            <family val="2"/>
          </rPr>
          <t>Indicates whether the algorithm has converged, i.e., whether the centroids have stabilized and no longer significantly change between iterations. This status helps determine whether the algorithm has reached a stable clustering solution or if further iterations are needed.</t>
        </r>
      </text>
    </comment>
    <comment ref="F5" authorId="0" shapeId="0" xr:uid="{4002FC47-6B15-459B-B66E-70A88DA22CBA}">
      <text>
        <r>
          <rPr>
            <b/>
            <sz val="9"/>
            <color indexed="81"/>
            <rFont val="Tahoma"/>
            <family val="2"/>
          </rPr>
          <t>Displays the number of data points that have been correctly reassigned to the same cluster as in the previous iteration.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futureMetadata name="XLDAPR" count="1">
    <bk>
      <extLst>
        <ext uri="{bdbb8cdc-fa1e-496e-a857-3c3f30c029c3}">
          <xda:dynamicArrayProperties fDynamic="1" fCollapsed="0"/>
        </ext>
      </extLst>
    </bk>
  </futureMetadata>
  <cellMetadata count="1">
    <bk>
      <rc t="2" v="0"/>
    </bk>
  </cellMetadata>
  <valueMetadata count="8">
    <bk>
      <rc t="1" v="0"/>
    </bk>
    <bk>
      <rc t="1" v="1"/>
    </bk>
    <bk>
      <rc t="1" v="2"/>
    </bk>
    <bk>
      <rc t="1" v="3"/>
    </bk>
    <bk>
      <rc t="1" v="4"/>
    </bk>
    <bk>
      <rc t="1" v="5"/>
    </bk>
    <bk>
      <rc t="1" v="6"/>
    </bk>
    <bk>
      <rc t="1" v="7"/>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<sst xmlns="http://schemas.openxmlformats.org/spreadsheetml/2006/main" count="109" uniqueCount="102">
  <si>
    <t>Status:</t>
  </si>
  <si>
    <t>Status List</t>
  </si>
  <si>
    <t>Error</t>
  </si>
  <si>
    <t>Pause</t>
  </si>
  <si>
    <t>Finished</t>
  </si>
  <si>
    <t>Green</t>
  </si>
  <si>
    <t>Blue</t>
  </si>
  <si>
    <t>Red</t>
  </si>
  <si>
    <t>Yellow</t>
  </si>
  <si>
    <t>In Progress</t>
  </si>
  <si>
    <t>Number of Clusters</t>
  </si>
  <si>
    <t>From</t>
  </si>
  <si>
    <t>Preprocessing</t>
  </si>
  <si>
    <t>Initialization</t>
  </si>
  <si>
    <t>Re-runs:</t>
  </si>
  <si>
    <t>Fixed:</t>
  </si>
  <si>
    <t>Use Silhouette Scores</t>
  </si>
  <si>
    <t>Method:</t>
  </si>
  <si>
    <t>Maximum iterations:</t>
  </si>
  <si>
    <t>k-Means</t>
  </si>
  <si>
    <t>Axes</t>
  </si>
  <si>
    <t>Axis y:</t>
  </si>
  <si>
    <t>Data Description</t>
  </si>
  <si>
    <t>Others types</t>
  </si>
  <si>
    <t>Attributes</t>
  </si>
  <si>
    <t>Observations</t>
  </si>
  <si>
    <t>Type</t>
  </si>
  <si>
    <t>(-) Missing</t>
  </si>
  <si>
    <t>(-) Duplicated</t>
  </si>
  <si>
    <t>(-) Mismatched</t>
  </si>
  <si>
    <t>Mean</t>
  </si>
  <si>
    <t>Std. Deviation</t>
  </si>
  <si>
    <t>Min</t>
  </si>
  <si>
    <t>Max</t>
  </si>
  <si>
    <t>Color by:</t>
  </si>
  <si>
    <t>k-means++</t>
  </si>
  <si>
    <t>Initialization Method</t>
  </si>
  <si>
    <t>to</t>
  </si>
  <si>
    <t>Panel</t>
  </si>
  <si>
    <t>sequential</t>
  </si>
  <si>
    <t>random</t>
  </si>
  <si>
    <t>After cleaning</t>
  </si>
  <si>
    <t>Categorical</t>
  </si>
  <si>
    <t>Total Data Points</t>
  </si>
  <si>
    <t>Axis x:</t>
  </si>
  <si>
    <t>Balancing cluster:</t>
  </si>
  <si>
    <t>Continuous Type</t>
  </si>
  <si>
    <t>Continuous</t>
  </si>
  <si>
    <t>(=) Remaining</t>
  </si>
  <si>
    <t>Total Columns (exclude No.)</t>
  </si>
  <si>
    <t>(-) Blank/ Missing header</t>
  </si>
  <si>
    <t>(=) Cluster relevant rows</t>
  </si>
  <si>
    <t>Cluster relevant columns</t>
  </si>
  <si>
    <t>ABOUT THIS APPLICATION</t>
  </si>
  <si>
    <t>FEATURES</t>
  </si>
  <si>
    <t>ABOUT K-MEANS</t>
  </si>
  <si>
    <t>DEVELOPED BY</t>
  </si>
  <si>
    <t>INSTRUCTION</t>
  </si>
  <si>
    <t>✔ Special: Balancing Cluster Option</t>
  </si>
  <si>
    <r>
      <rPr>
        <b/>
        <sz val="12"/>
        <color theme="1"/>
        <rFont val="Calibri"/>
        <family val="2"/>
      </rPr>
      <t>✔ Data Preprocessing:</t>
    </r>
    <r>
      <rPr>
        <sz val="12"/>
        <color theme="1"/>
        <rFont val="Calibri"/>
        <family val="2"/>
      </rPr>
      <t xml:space="preserve"> Detects and handles missing values, duplicate records, and inconsistent data types.</t>
    </r>
  </si>
  <si>
    <r>
      <t xml:space="preserve">K-Means is an </t>
    </r>
    <r>
      <rPr>
        <b/>
        <sz val="12"/>
        <color theme="1"/>
        <rFont val="Calibri"/>
        <family val="2"/>
      </rPr>
      <t>unsupervised learning algorithm</t>
    </r>
    <r>
      <rPr>
        <sz val="12"/>
        <color theme="1"/>
        <rFont val="Calibri"/>
        <family val="2"/>
      </rPr>
      <t xml:space="preserve"> that partitions data into K clusters based on feature similarity. It minimizes intra-cluster variance using an iterative approach.</t>
    </r>
  </si>
  <si>
    <t>REMARKS</t>
  </si>
  <si>
    <t>10622013@student.vgu.edu.vn</t>
  </si>
  <si>
    <t>Convergence</t>
  </si>
  <si>
    <t>Result</t>
  </si>
  <si>
    <t>of</t>
  </si>
  <si>
    <r>
      <t xml:space="preserve">1. Click </t>
    </r>
    <r>
      <rPr>
        <b/>
        <sz val="12"/>
        <color theme="1"/>
        <rFont val="Calibri"/>
        <family val="2"/>
      </rPr>
      <t>"1. Import Data"</t>
    </r>
    <r>
      <rPr>
        <sz val="12"/>
        <color theme="1"/>
        <rFont val="Calibri"/>
        <family val="2"/>
      </rPr>
      <t xml:space="preserve"> to load your dataset into the "1 - Raw Data" sheet. Supported file types include Excel and CSV.</t>
    </r>
  </si>
  <si>
    <r>
      <t xml:space="preserve">2. Click </t>
    </r>
    <r>
      <rPr>
        <b/>
        <sz val="12"/>
        <color theme="1"/>
        <rFont val="Calibri"/>
        <family val="2"/>
      </rPr>
      <t>"2. Clean Data"</t>
    </r>
    <r>
      <rPr>
        <sz val="12"/>
        <color theme="1"/>
        <rFont val="Calibri"/>
        <family val="2"/>
      </rPr>
      <t xml:space="preserve"> to preprocess the dataset. This step is mandatory—skipping it will prevent the algorithm from running.</t>
    </r>
  </si>
  <si>
    <r>
      <t xml:space="preserve">4. Once clustering is complete, the results will be displayed in the RESULT TABLE, accessible via the </t>
    </r>
    <r>
      <rPr>
        <b/>
        <sz val="12"/>
        <color theme="1"/>
        <rFont val="Calibri"/>
        <family val="2"/>
      </rPr>
      <t>RESULT tab</t>
    </r>
    <r>
      <rPr>
        <sz val="12"/>
        <color theme="1"/>
        <rFont val="Calibri"/>
        <family val="2"/>
      </rPr>
      <t xml:space="preserve"> in the navigation bar.</t>
    </r>
  </si>
  <si>
    <t>SSE represents the total squared distance between each data point and its assigned centroid, indicating the quality of the clustering—lower SSE means better clustering.</t>
  </si>
  <si>
    <r>
      <t xml:space="preserve">To visualize the results, use the </t>
    </r>
    <r>
      <rPr>
        <b/>
        <sz val="12"/>
        <color theme="1"/>
        <rFont val="Calibri"/>
        <family val="2"/>
      </rPr>
      <t>Visualization Panel in the HOME tab</t>
    </r>
    <r>
      <rPr>
        <sz val="12"/>
        <color theme="1"/>
        <rFont val="Calibri"/>
        <family val="2"/>
      </rPr>
      <t xml:space="preserve"> to select the X-axis, Y-axis, and color categories (e.g., clusters) for better data analysis.</t>
    </r>
  </si>
  <si>
    <t>✔ Iteration Log — Review details from any iteration with Excel formulas.</t>
  </si>
  <si>
    <t>✔ Fully Automated K-Means Clustering — No manual calculations needed.</t>
  </si>
  <si>
    <t>v1.0.0</t>
  </si>
  <si>
    <t>MAIN DEVELOPER</t>
  </si>
  <si>
    <t>OTHER DEVELOPERS</t>
  </si>
  <si>
    <t>VERSION</t>
  </si>
  <si>
    <t>RELEASE</t>
  </si>
  <si>
    <r>
      <t xml:space="preserve">The tool is intended for basic learning purposes and may not be suitable for handling very large or complex datasets. The maximum dataset size that Excel allows is </t>
    </r>
    <r>
      <rPr>
        <b/>
        <sz val="11"/>
        <color theme="1"/>
        <rFont val="Calibri"/>
        <family val="2"/>
      </rPr>
      <t>1 048 576</t>
    </r>
    <r>
      <rPr>
        <sz val="11"/>
        <color theme="1"/>
        <rFont val="Calibri"/>
        <family val="2"/>
      </rPr>
      <t xml:space="preserve"> rows</t>
    </r>
    <r>
      <rPr>
        <i/>
        <sz val="11"/>
        <color theme="1"/>
        <rFont val="Calibri"/>
        <family val="2"/>
      </rPr>
      <t xml:space="preserve"> (include header)</t>
    </r>
    <r>
      <rPr>
        <sz val="11"/>
        <color theme="1"/>
        <rFont val="Calibri"/>
        <family val="2"/>
      </rPr>
      <t xml:space="preserve"> and </t>
    </r>
    <r>
      <rPr>
        <b/>
        <sz val="11"/>
        <color theme="1"/>
        <rFont val="Calibri"/>
        <family val="2"/>
      </rPr>
      <t>16 384</t>
    </r>
    <r>
      <rPr>
        <sz val="11"/>
        <color theme="1"/>
        <rFont val="Calibri"/>
        <family val="2"/>
      </rPr>
      <t xml:space="preserve"> columns </t>
    </r>
    <r>
      <rPr>
        <i/>
        <sz val="11"/>
        <color theme="1"/>
        <rFont val="Calibri"/>
        <family val="2"/>
      </rPr>
      <t>(include a No. column)</t>
    </r>
    <r>
      <rPr>
        <sz val="11"/>
        <color theme="1"/>
        <rFont val="Calibri"/>
        <family val="2"/>
      </rPr>
      <t>.</t>
    </r>
  </si>
  <si>
    <r>
      <t xml:space="preserve">It focuses on </t>
    </r>
    <r>
      <rPr>
        <b/>
        <sz val="11"/>
        <color theme="1"/>
        <rFont val="Calibri"/>
        <family val="2"/>
      </rPr>
      <t>structured and numerical data</t>
    </r>
    <r>
      <rPr>
        <sz val="11"/>
        <color theme="1"/>
        <rFont val="Calibri"/>
        <family val="2"/>
      </rPr>
      <t>, which is typical for clustering tasks.</t>
    </r>
  </si>
  <si>
    <t>Plotting Area</t>
  </si>
  <si>
    <t>Scatter Plot Visualization</t>
  </si>
  <si>
    <r>
      <t xml:space="preserve">3. Configure the necessary parameters in the K-Means panel, then click </t>
    </r>
    <r>
      <rPr>
        <b/>
        <sz val="12"/>
        <color theme="1"/>
        <rFont val="Calibri"/>
        <family val="2"/>
      </rPr>
      <t>"3. Apply"</t>
    </r>
    <r>
      <rPr>
        <sz val="12"/>
        <color theme="1"/>
        <rFont val="Calibri"/>
        <family val="2"/>
      </rPr>
      <t xml:space="preserve"> to initiate the clustering process.</t>
    </r>
  </si>
  <si>
    <r>
      <t xml:space="preserve">This tool is designed to help novice learners understand how to </t>
    </r>
    <r>
      <rPr>
        <b/>
        <sz val="12"/>
        <color theme="1"/>
        <rFont val="Calibri"/>
        <family val="2"/>
      </rPr>
      <t>implement the K-Means clustering algorithm in Excel</t>
    </r>
    <r>
      <rPr>
        <sz val="12"/>
        <color theme="1"/>
        <rFont val="Calibri"/>
        <family val="2"/>
      </rPr>
      <t xml:space="preserve"> using VBA. The goal is to simplify clustering tasks and visualize results without needing advanced data science skills.</t>
    </r>
  </si>
  <si>
    <t>Students with no coding experience can use this tool to experiment with small datasets and gain hands-on understanding of K-Means clustering. Likewise, teachers can leverage it as a teaching aid to demonstrate how the algorithm works in a practical, interactive way.</t>
  </si>
  <si>
    <t>Iteration:</t>
  </si>
  <si>
    <t>BSc Economics &amp; Business Administration Student, VGU</t>
  </si>
  <si>
    <t>TA NGUYEN MINH HANG</t>
  </si>
  <si>
    <t>PHAN TAN HUY</t>
  </si>
  <si>
    <t>NGUYEN AI NHI</t>
  </si>
  <si>
    <t>VUONG BINH NGUYEN</t>
  </si>
  <si>
    <t>NGUYEN PHAN HOANG NHI</t>
  </si>
  <si>
    <r>
      <t xml:space="preserve">Due to Excel's limitations, some features may be simplified, and performance could be slower with large datasets. If you're new to clustering, we recommend starting with </t>
    </r>
    <r>
      <rPr>
        <b/>
        <sz val="11"/>
        <color theme="1"/>
        <rFont val="Calibri"/>
        <family val="2"/>
      </rPr>
      <t>small datasets</t>
    </r>
    <r>
      <rPr>
        <sz val="11"/>
        <color theme="1"/>
        <rFont val="Calibri"/>
        <family val="2"/>
      </rPr>
      <t xml:space="preserve"> to understand the process.</t>
    </r>
  </si>
  <si>
    <t>If you experience any issues, try closing and reopening the workbook, or resetting the tool. If the problem persists, feel free to reach out:</t>
  </si>
  <si>
    <t>Standardize features</t>
  </si>
  <si>
    <r>
      <t xml:space="preserve">✔ Visualization: </t>
    </r>
    <r>
      <rPr>
        <sz val="12"/>
        <color theme="1"/>
        <rFont val="Calibri"/>
        <family val="2"/>
      </rPr>
      <t>Showcases clustered results and iteration progress through dynamic charts and structured tables.</t>
    </r>
  </si>
  <si>
    <t>Centroid Coordinates</t>
  </si>
  <si>
    <t>Control</t>
  </si>
  <si>
    <t>WCSS</t>
  </si>
  <si>
    <t>Input Panel</t>
  </si>
  <si>
    <t>tblResult</t>
  </si>
  <si>
    <r>
      <t xml:space="preserve">Additionally, you can review details from any iteration, including centroid coordinates, WCSS (Within-Cluster Sum of Squared), convergence status, and distances from data points to centroids, by accessing the </t>
    </r>
    <r>
      <rPr>
        <b/>
        <sz val="12"/>
        <color theme="1"/>
        <rFont val="Calibri"/>
        <family val="2"/>
      </rPr>
      <t>ITERATION LOG tab</t>
    </r>
    <r>
      <rPr>
        <sz val="12"/>
        <color theme="1"/>
        <rFont val="Calibri"/>
        <family val="2"/>
      </rPr>
      <t xml:space="preserve"> in the navigation bar. Note, this only available for a fixed k clusters.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</si>
</sst>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dd\-mmm\-yyyy"/>
  </numFmts>
  <fonts count="23" x14ac:knownFonts="1">
    <font>
      <sz val="11"/>
      <color theme="1"/>
      <name val="Nunito"/>
      <family val="2"/>
    </font>
    <font>
      <sz val="11"/>
      <color theme="1"/>
      <name val="Calibri"/>
      <family val="2"/>
    </font>
    <font>
      <b/>
      <sz val="12"/>
      <color theme="0"/>
      <name val="Calibri"/>
      <family val="2"/>
    </font>
    <font>
      <sz val="12"/>
      <color theme="1"/>
      <name val="Calibri"/>
      <family val="2"/>
    </font>
    <font>
      <sz val="12"/>
      <color theme="0"/>
      <name val="Calibri"/>
      <family val="2"/>
    </font>
    <font>
      <b/>
      <sz val="12"/>
      <color theme="1"/>
      <name val="Calibri"/>
      <family val="2"/>
    </font>
    <font>
      <b/>
      <sz val="12"/>
      <color rgb="FFF5E7DC"/>
      <name val="Calibri"/>
      <family val="2"/>
    </font>
    <font>
      <sz val="12"/>
      <color rgb="FFFF0000"/>
      <name val="Calibri"/>
      <family val="2"/>
    </font>
    <font>
      <b/>
      <sz val="14"/>
      <name val="Calibri"/>
      <family val="2"/>
    </font>
    <font>
      <b/>
      <sz val="11"/>
      <color theme="1"/>
      <name val="Calibri"/>
      <family val="2"/>
    </font>
    <font>
      <sz val="8"/>
      <name val="Nunito"/>
      <family val="2"/>
    </font>
    <font>
      <sz val="9"/>
      <color indexed="81"/>
      <name val="Tahoma"/>
      <family val="2"/>
    </font>
    <font>
      <b/>
      <u/>
      <sz val="11"/>
      <color theme="1"/>
      <name val="Calibri"/>
      <family val="2"/>
    </font>
    <font>
      <b/>
      <u/>
      <sz val="12"/>
      <color theme="1"/>
      <name val="Calibri"/>
      <family val="2"/>
    </font>
    <font>
      <sz val="11"/>
      <color theme="1"/>
      <name val="Nunito"/>
      <family val="2"/>
    </font>
    <font>
      <b/>
      <sz val="12"/>
      <name val="Calibri"/>
      <family val="2"/>
    </font>
    <font>
      <b/>
      <sz val="14"/>
      <color theme="1"/>
      <name val="Calibri"/>
      <family val="2"/>
    </font>
    <font>
      <u/>
      <sz val="11"/>
      <color theme="10"/>
      <name val="Nunito"/>
      <family val="2"/>
    </font>
    <font>
      <u/>
      <sz val="11"/>
      <color theme="10"/>
      <name val="Calibri"/>
      <family val="2"/>
    </font>
    <font>
      <i/>
      <sz val="11"/>
      <color theme="1"/>
      <name val="Calibri"/>
      <family val="2"/>
    </font>
    <font>
      <b/>
      <sz val="9"/>
      <color indexed="81"/>
      <name val="Tahoma"/>
      <family val="2"/>
    </font>
    <font>
      <sz val="10"/>
      <color theme="1"/>
      <name val="Calibri"/>
      <family val="2"/>
    </font>
    <font>
      <i/>
      <u/>
      <sz val="11"/>
      <color theme="10"/>
      <name val="Calibri"/>
      <family val="2"/>
    </font>
  </fonts>
  <fills count="8">
    <fill>
      <patternFill patternType="none"/>
    </fill>
    <fill>
      <patternFill patternType="gray125"/>
    </fill>
    <fill>
      <patternFill patternType="solid">
        <fgColor rgb="FF666C85"/>
        <bgColor indexed="64"/>
      </patternFill>
    </fill>
    <fill>
      <patternFill patternType="solid">
        <fgColor rgb="FFF9F3F3"/>
        <bgColor indexed="64"/>
      </patternFill>
    </fill>
    <fill>
      <patternFill patternType="solid">
        <fgColor rgb="FFF5E7DC"/>
        <bgColor indexed="64"/>
      </patternFill>
    </fill>
    <fill>
      <patternFill patternType="solid">
        <fgColor rgb="FFFD9D54"/>
        <bgColor indexed="64"/>
      </patternFill>
    </fill>
    <fill>
      <patternFill patternType="solid">
        <fgColor theme="0"/>
        <bgColor indexed="64"/>
      </patternFill>
    </fill>
    <fill>
      <patternFill patternType="solid">
        <fgColor rgb="FFFFE3B2"/>
        <bgColor indexed="64"/>
      </patternFill>
    </fill>
  </fills>
  <borders count="14">
    <border>
      <left/>
      <right/>
      <top/>
      <bottom/>
      <diagonal/>
    </border>
    <border>
      <left/>
      <right style="thin">
        <color rgb="FFF5E7DC"/>
      </right>
      <top/>
      <bottom/>
      <diagonal/>
    </border>
    <border>
      <left/>
      <right/>
      <top/>
      <bottom style="thin">
        <color rgb="FFF5E7DC"/>
      </bottom>
      <diagonal/>
    </border>
    <border>
      <left style="thin">
        <color rgb="FF666C85"/>
      </left>
      <right style="thin">
        <color rgb="FF666C85"/>
      </right>
      <top style="thin">
        <color rgb="FF666C85"/>
      </top>
      <bottom style="thin">
        <color rgb="FF666C85"/>
      </bottom>
      <diagonal/>
    </border>
    <border>
      <left/>
      <right/>
      <top/>
      <bottom style="thin">
        <color rgb="FF666C85"/>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auto="1"/>
      </top>
      <bottom/>
      <diagonal/>
    </border>
    <border>
      <left/>
      <right/>
      <top style="thin">
        <color indexed="64"/>
      </top>
      <bottom/>
      <diagonal/>
    </border>
    <border>
      <left/>
      <right/>
      <top/>
      <bottom style="slantDashDot">
        <color rgb="FF666C85"/>
      </bottom>
      <diagonal/>
    </border>
    <border>
      <left/>
      <right/>
      <top/>
      <bottom style="thin">
        <color indexed="64"/>
      </bottom>
      <diagonal/>
    </border>
    <border>
      <left style="medium">
        <color rgb="FFFD9D54"/>
      </left>
      <right style="medium">
        <color rgb="FFFD9D54"/>
      </right>
      <top style="medium">
        <color rgb="FFFD9D54"/>
      </top>
      <bottom style="medium">
        <color rgb="FFFD9D54"/>
      </bottom>
      <diagonal/>
    </border>
  </borders>
  <cellStyleXfs count="3">
    <xf numFmtId="0" fontId="0" fillId="0" borderId="0"/>
    <xf numFmtId="43" fontId="14" fillId="0" borderId="0" applyFont="0" applyFill="0" applyBorder="0" applyAlignment="0" applyProtection="0"/>
    <xf numFmtId="0" fontId="17" fillId="0" borderId="0" applyNumberFormat="0" applyFill="0" applyBorder="0" applyAlignment="0" applyProtection="0"/>
  </cellStyleXfs>
  <cellXfs count="96">
    <xf numFmtId="0" fontId="0" fillId="0" borderId="0" xfId="0"/>
    <xf numFmtId="0" fontId="1" fillId="2" borderId="0" xfId="0" applyFont="1" applyFill="1" applyAlignment="1">
      <alignment vertical="center"/>
    </xf>
    <xf numFmtId="0" fontId="1" fillId="3" borderId="0" xfId="0" applyFont="1" applyFill="1" applyAlignmen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6" fillId="2" borderId="0" xfId="0" applyFont="1" applyFill="1" applyAlignment="1">
      <alignment horizontal="right" vertical="center"/>
    </xf>
    <xf numFmtId="0" fontId="1" fillId="2" borderId="1" xfId="0" applyFont="1" applyFill="1" applyBorder="1" applyAlignment="1">
      <alignment vertical="center"/>
    </xf>
    <xf numFmtId="0" fontId="4" fillId="2" borderId="1" xfId="0" applyFont="1" applyFill="1" applyBorder="1" applyAlignment="1">
      <alignment horizontal="left" vertical="center"/>
    </xf>
    <xf numFmtId="0" fontId="1" fillId="4" borderId="0" xfId="0" applyFont="1" applyFill="1" applyAlignment="1">
      <alignment vertical="center"/>
    </xf>
    <xf numFmtId="0" fontId="5" fillId="0" borderId="5" xfId="0" applyFont="1" applyBorder="1" applyAlignment="1">
      <alignment horizontal="center" vertical="center"/>
    </xf>
    <xf numFmtId="0" fontId="3" fillId="0" borderId="0" xfId="0" applyFont="1" applyAlignment="1">
      <alignment vertical="center"/>
    </xf>
    <xf numFmtId="0" fontId="3" fillId="0" borderId="0" xfId="0" applyFont="1" applyAlignment="1">
      <alignment horizontal="center" vertical="center"/>
    </xf>
    <xf numFmtId="0" fontId="5" fillId="0" borderId="5" xfId="0" applyFont="1" applyBorder="1" applyAlignment="1">
      <alignment vertical="center"/>
    </xf>
    <xf numFmtId="0" fontId="3" fillId="0" borderId="5" xfId="0" applyFont="1" applyBorder="1" applyAlignment="1">
      <alignment vertical="center"/>
    </xf>
    <xf numFmtId="1" fontId="3" fillId="0" borderId="0" xfId="0" applyNumberFormat="1" applyFont="1" applyAlignment="1">
      <alignment horizontal="right" vertical="center"/>
    </xf>
    <xf numFmtId="0" fontId="5" fillId="0" borderId="0" xfId="0" applyFont="1" applyAlignment="1">
      <alignment vertical="center"/>
    </xf>
    <xf numFmtId="1" fontId="5" fillId="0" borderId="0" xfId="0" applyNumberFormat="1" applyFont="1" applyAlignment="1">
      <alignment vertical="center"/>
    </xf>
    <xf numFmtId="0" fontId="5" fillId="0" borderId="0" xfId="0" applyFont="1" applyAlignment="1">
      <alignment horizontal="center" vertical="center"/>
    </xf>
    <xf numFmtId="1" fontId="3" fillId="0" borderId="0" xfId="0" applyNumberFormat="1" applyFont="1" applyAlignment="1">
      <alignment vertical="center"/>
    </xf>
    <xf numFmtId="0" fontId="7" fillId="0" borderId="5" xfId="0" applyFont="1" applyBorder="1" applyAlignment="1">
      <alignment horizontal="center" vertical="center"/>
    </xf>
    <xf numFmtId="0" fontId="13" fillId="3" borderId="0" xfId="0" applyFont="1" applyFill="1" applyAlignment="1">
      <alignment vertical="center"/>
    </xf>
    <xf numFmtId="0" fontId="3" fillId="0" borderId="5" xfId="0" applyFont="1" applyBorder="1" applyAlignment="1">
      <alignment horizontal="center" vertical="center"/>
    </xf>
    <xf numFmtId="0" fontId="3" fillId="0" borderId="0" xfId="0" applyFont="1" applyAlignment="1">
      <alignment horizontal="right" vertical="center"/>
    </xf>
    <xf numFmtId="0" fontId="3" fillId="0" borderId="5" xfId="0" applyFont="1" applyBorder="1" applyAlignment="1">
      <alignment horizontal="right" vertical="center"/>
    </xf>
    <xf numFmtId="0" fontId="13" fillId="0" borderId="0" xfId="0" applyFont="1" applyAlignment="1">
      <alignment horizontal="left" vertical="center" indent="1"/>
    </xf>
    <xf numFmtId="0" fontId="15" fillId="5" borderId="0" xfId="0" applyFont="1" applyFill="1" applyAlignment="1">
      <alignment horizontal="center" vertical="center"/>
    </xf>
    <xf numFmtId="0" fontId="12" fillId="3" borderId="0" xfId="0" applyFont="1" applyFill="1" applyAlignment="1">
      <alignment vertical="center"/>
    </xf>
    <xf numFmtId="0" fontId="8" fillId="5" borderId="4" xfId="0" applyFont="1" applyFill="1" applyBorder="1" applyAlignment="1">
      <alignment horizontal="center" vertical="center"/>
    </xf>
    <xf numFmtId="0" fontId="9" fillId="3" borderId="2" xfId="0" applyFont="1" applyFill="1" applyBorder="1" applyAlignment="1">
      <alignment vertical="center"/>
    </xf>
    <xf numFmtId="0" fontId="1" fillId="3" borderId="2" xfId="0" applyFont="1" applyFill="1" applyBorder="1" applyAlignment="1">
      <alignment vertical="center"/>
    </xf>
    <xf numFmtId="0" fontId="1" fillId="3" borderId="0" xfId="0" applyFont="1" applyFill="1" applyAlignment="1">
      <alignment horizontal="right" vertical="center"/>
    </xf>
    <xf numFmtId="0" fontId="3" fillId="4" borderId="0" xfId="0" applyFont="1" applyFill="1" applyAlignment="1">
      <alignment vertical="center"/>
    </xf>
    <xf numFmtId="0" fontId="5" fillId="4" borderId="0" xfId="0" applyFont="1" applyFill="1" applyAlignment="1">
      <alignment vertical="center"/>
    </xf>
    <xf numFmtId="0" fontId="1" fillId="4" borderId="0" xfId="0" applyFont="1" applyFill="1" applyAlignment="1">
      <alignment horizontal="center" vertical="center"/>
    </xf>
    <xf numFmtId="0" fontId="1" fillId="3" borderId="4" xfId="0" applyFont="1" applyFill="1" applyBorder="1" applyAlignment="1">
      <alignment vertical="center"/>
    </xf>
    <xf numFmtId="0" fontId="3" fillId="4" borderId="6" xfId="0" applyFont="1" applyFill="1" applyBorder="1" applyAlignment="1">
      <alignment vertical="center"/>
    </xf>
    <xf numFmtId="0" fontId="3" fillId="4" borderId="7" xfId="0" applyFont="1" applyFill="1" applyBorder="1" applyAlignment="1">
      <alignment vertical="center"/>
    </xf>
    <xf numFmtId="0" fontId="0" fillId="0" borderId="0" xfId="0" applyAlignment="1">
      <alignment horizontal="center" vertical="center"/>
    </xf>
    <xf numFmtId="0" fontId="1" fillId="4" borderId="0" xfId="0" applyFont="1" applyFill="1" applyAlignment="1">
      <alignment horizontal="left" vertical="center"/>
    </xf>
    <xf numFmtId="0" fontId="8" fillId="5" borderId="4" xfId="0" applyFont="1" applyFill="1" applyBorder="1" applyAlignment="1">
      <alignment horizontal="left" vertical="center"/>
    </xf>
    <xf numFmtId="0" fontId="3" fillId="0" borderId="9" xfId="0" applyFont="1" applyBorder="1" applyAlignment="1">
      <alignment horizontal="center" vertical="center"/>
    </xf>
    <xf numFmtId="0" fontId="0" fillId="0" borderId="0" xfId="0" applyAlignment="1">
      <alignment horizontal="center"/>
    </xf>
    <xf numFmtId="0" fontId="16" fillId="6" borderId="0" xfId="0" applyFont="1" applyFill="1" applyAlignment="1">
      <alignment vertical="center"/>
    </xf>
    <xf numFmtId="0" fontId="5" fillId="6" borderId="0" xfId="0" applyFont="1" applyFill="1" applyAlignment="1">
      <alignment vertical="center"/>
    </xf>
    <xf numFmtId="0" fontId="1" fillId="6" borderId="0" xfId="0" applyFont="1" applyFill="1" applyAlignment="1">
      <alignment vertical="center"/>
    </xf>
    <xf numFmtId="0" fontId="1" fillId="6" borderId="0" xfId="0" applyFont="1" applyFill="1" applyAlignment="1">
      <alignment horizontal="left" vertical="center" wrapText="1"/>
    </xf>
    <xf numFmtId="0" fontId="1" fillId="7" borderId="0" xfId="0" applyFont="1" applyFill="1" applyAlignment="1">
      <alignment vertical="center"/>
    </xf>
    <xf numFmtId="0" fontId="3" fillId="6" borderId="0" xfId="0" applyFont="1" applyFill="1" applyAlignment="1">
      <alignment vertical="center"/>
    </xf>
    <xf numFmtId="0" fontId="1" fillId="6" borderId="10" xfId="0" applyFont="1" applyFill="1" applyBorder="1" applyAlignment="1">
      <alignment vertical="center"/>
    </xf>
    <xf numFmtId="0" fontId="5" fillId="6" borderId="10" xfId="0" applyFont="1" applyFill="1" applyBorder="1" applyAlignment="1">
      <alignment vertical="center"/>
    </xf>
    <xf numFmtId="0" fontId="3" fillId="6" borderId="10" xfId="0" applyFont="1" applyFill="1" applyBorder="1" applyAlignment="1">
      <alignment vertical="center"/>
    </xf>
    <xf numFmtId="0" fontId="18" fillId="7" borderId="0" xfId="2" applyFont="1" applyFill="1" applyAlignment="1">
      <alignment vertical="center"/>
    </xf>
    <xf numFmtId="0" fontId="3" fillId="7" borderId="0" xfId="0" applyFont="1" applyFill="1" applyAlignment="1">
      <alignment vertical="center"/>
    </xf>
    <xf numFmtId="0" fontId="19" fillId="7" borderId="0" xfId="0" applyFont="1" applyFill="1" applyAlignment="1">
      <alignment vertical="center"/>
    </xf>
    <xf numFmtId="0" fontId="13" fillId="4" borderId="0" xfId="0" applyFont="1" applyFill="1" applyAlignment="1">
      <alignment horizontal="center" vertical="center"/>
    </xf>
    <xf numFmtId="0" fontId="9" fillId="5" borderId="0" xfId="0" applyFont="1" applyFill="1" applyAlignment="1">
      <alignment horizontal="center" vertical="center"/>
    </xf>
    <xf numFmtId="0" fontId="1" fillId="5" borderId="0" xfId="0" applyFont="1" applyFill="1" applyAlignment="1">
      <alignment horizontal="center" vertical="center"/>
    </xf>
    <xf numFmtId="4" fontId="1" fillId="5" borderId="0" xfId="0" applyNumberFormat="1" applyFont="1" applyFill="1" applyAlignment="1">
      <alignment horizontal="center" vertical="center"/>
    </xf>
    <xf numFmtId="3" fontId="3" fillId="4" borderId="0" xfId="0" applyNumberFormat="1" applyFont="1" applyFill="1" applyAlignment="1">
      <alignment vertical="center"/>
    </xf>
    <xf numFmtId="0" fontId="9" fillId="0" borderId="5" xfId="0" applyFont="1" applyBorder="1" applyAlignment="1">
      <alignment horizontal="center" vertical="center"/>
    </xf>
    <xf numFmtId="3" fontId="1" fillId="5" borderId="0" xfId="1" applyNumberFormat="1" applyFont="1" applyFill="1" applyAlignment="1">
      <alignment horizontal="center" vertical="center"/>
    </xf>
    <xf numFmtId="0" fontId="3" fillId="7" borderId="0" xfId="0" applyFont="1" applyFill="1" applyAlignment="1">
      <alignment horizontal="left" vertical="center" wrapText="1"/>
    </xf>
    <xf numFmtId="0" fontId="3" fillId="7" borderId="0" xfId="0" applyFont="1" applyFill="1" applyAlignment="1">
      <alignment horizontal="left" vertical="center"/>
    </xf>
    <xf numFmtId="0" fontId="3" fillId="7" borderId="0" xfId="0" applyFont="1" applyFill="1" applyAlignment="1">
      <alignment horizontal="left" vertical="center" indent="2"/>
    </xf>
    <xf numFmtId="0" fontId="1" fillId="7" borderId="11" xfId="0" applyFont="1" applyFill="1" applyBorder="1" applyAlignment="1">
      <alignment vertical="center"/>
    </xf>
    <xf numFmtId="0" fontId="1" fillId="6" borderId="0" xfId="0" applyFont="1" applyFill="1" applyAlignment="1">
      <alignment horizontal="center" vertical="center"/>
    </xf>
    <xf numFmtId="0" fontId="3" fillId="6" borderId="0" xfId="0" applyFont="1" applyFill="1" applyAlignment="1">
      <alignment horizontal="center" vertical="center"/>
    </xf>
    <xf numFmtId="0" fontId="3" fillId="6" borderId="12" xfId="0" applyFont="1" applyFill="1" applyBorder="1" applyAlignment="1">
      <alignment horizontal="center" vertical="center"/>
    </xf>
    <xf numFmtId="0" fontId="9" fillId="6" borderId="12" xfId="0" applyFont="1" applyFill="1" applyBorder="1" applyAlignment="1">
      <alignment horizontal="center" vertical="center"/>
    </xf>
    <xf numFmtId="0" fontId="21" fillId="6" borderId="0" xfId="0" applyFont="1" applyFill="1" applyAlignment="1">
      <alignment horizontal="center" vertical="center"/>
    </xf>
    <xf numFmtId="0" fontId="22" fillId="7" borderId="0" xfId="2" applyFont="1" applyFill="1" applyAlignment="1">
      <alignment vertical="center"/>
    </xf>
    <xf numFmtId="164" fontId="3" fillId="6" borderId="3" xfId="1" applyNumberFormat="1" applyFont="1" applyFill="1" applyBorder="1" applyAlignment="1" applyProtection="1">
      <alignment horizontal="right" vertical="center"/>
      <protection locked="0"/>
    </xf>
    <xf numFmtId="0" fontId="3" fillId="4" borderId="0" xfId="0" applyFont="1" applyFill="1" applyAlignment="1" applyProtection="1">
      <alignment vertical="center"/>
      <protection locked="0"/>
      <extLst>
        <ext xmlns:xfpb="http://schemas.microsoft.com/office/spreadsheetml/2022/featurepropertybag" uri="{C7286773-470A-42A8-94C5-96B5CB345126}">
          <xfpb:xfComplement i="0"/>
        </ext>
      </extLst>
    </xf>
    <xf numFmtId="0" fontId="3" fillId="4" borderId="3" xfId="0" applyFont="1" applyFill="1" applyBorder="1" applyAlignment="1" applyProtection="1">
      <alignment horizontal="right" vertical="center"/>
      <protection locked="0"/>
    </xf>
    <xf numFmtId="0" fontId="3" fillId="4" borderId="8" xfId="0" applyFont="1" applyFill="1" applyBorder="1" applyAlignment="1" applyProtection="1">
      <alignment horizontal="right" vertical="center"/>
      <protection locked="0"/>
    </xf>
    <xf numFmtId="0" fontId="1" fillId="5" borderId="0" xfId="0" applyFont="1" applyFill="1" applyAlignment="1">
      <alignment vertical="center"/>
    </xf>
    <xf numFmtId="0" fontId="9" fillId="3" borderId="0" xfId="0" applyFont="1" applyFill="1" applyAlignment="1">
      <alignment vertical="center"/>
    </xf>
    <xf numFmtId="0" fontId="1" fillId="3" borderId="0" xfId="0" applyFont="1" applyFill="1" applyAlignment="1">
      <alignment horizontal="center" vertical="center"/>
    </xf>
    <xf numFmtId="3" fontId="1" fillId="3" borderId="0" xfId="0" applyNumberFormat="1" applyFont="1" applyFill="1" applyAlignment="1" applyProtection="1">
      <alignment vertical="center"/>
      <protection locked="0"/>
    </xf>
    <xf numFmtId="3" fontId="1" fillId="3" borderId="0" xfId="0" applyNumberFormat="1" applyFont="1" applyFill="1" applyAlignment="1">
      <alignment vertical="center"/>
    </xf>
    <xf numFmtId="4" fontId="1" fillId="3" borderId="0" xfId="0" applyNumberFormat="1" applyFont="1" applyFill="1" applyAlignment="1">
      <alignment horizontal="center" vertical="center"/>
    </xf>
    <xf numFmtId="3" fontId="1" fillId="3" borderId="0" xfId="1" applyNumberFormat="1" applyFont="1" applyFill="1" applyAlignment="1">
      <alignment horizontal="center" vertical="center"/>
    </xf>
    <xf numFmtId="0" fontId="16" fillId="3" borderId="0" xfId="0" applyFont="1" applyFill="1" applyAlignment="1">
      <alignment horizontal="left" vertical="center"/>
    </xf>
    <xf numFmtId="3" fontId="5" fillId="4" borderId="13" xfId="0" applyNumberFormat="1" applyFont="1" applyFill="1" applyBorder="1" applyAlignment="1" applyProtection="1">
      <alignment vertical="center"/>
      <protection locked="0"/>
    </xf>
    <xf numFmtId="4" fontId="1" fillId="0" borderId="0" xfId="0" applyNumberFormat="1" applyFont="1" applyAlignment="1" applyProtection="1">
      <alignment vertical="center"/>
      <protection locked="0"/>
    </xf>
    <xf numFmtId="3" fontId="1" fillId="0" borderId="0" xfId="0" applyNumberFormat="1" applyFont="1" applyAlignment="1">
      <alignment vertical="center"/>
    </xf>
    <xf numFmtId="0" fontId="1" fillId="0" borderId="0" xfId="0" applyFont="1" applyAlignment="1">
      <alignment vertical="center"/>
    </xf>
    <xf numFmtId="0" fontId="1" fillId="0" borderId="0" xfId="0" applyFont="1" applyAlignment="1" applyProtection="1">
      <alignment vertical="center"/>
      <protection locked="0"/>
    </xf>
    <xf numFmtId="0" fontId="5" fillId="0" borderId="5" xfId="0" applyFont="1" applyBorder="1" applyAlignment="1">
      <alignment horizontal="center" vertical="center"/>
    </xf>
    <xf numFmtId="0" fontId="3" fillId="6" borderId="0" xfId="0" applyFont="1" applyFill="1" applyAlignment="1">
      <alignment horizontal="left" vertical="center" wrapText="1"/>
    </xf>
    <xf numFmtId="0" fontId="16" fillId="5" borderId="0" xfId="0" applyFont="1" applyFill="1" applyAlignment="1">
      <alignment horizontal="center" vertical="center"/>
    </xf>
    <xf numFmtId="0" fontId="1" fillId="6" borderId="0" xfId="0" applyFont="1" applyFill="1" applyAlignment="1">
      <alignment horizontal="left" vertical="center" wrapText="1"/>
    </xf>
    <xf numFmtId="0" fontId="3" fillId="7" borderId="0" xfId="0" applyFont="1" applyFill="1" applyAlignment="1">
      <alignment horizontal="left" vertical="center" wrapText="1"/>
    </xf>
    <xf numFmtId="165" fontId="1" fillId="6" borderId="10"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1" fillId="6" borderId="0" xfId="0" applyFont="1" applyFill="1" applyAlignment="1">
      <alignment horizontal="center" vertical="center"/>
    </xf>
  </cellXfs>
  <cellStyles count="3">
    <cellStyle name="Comma" xfId="1" builtinId="3"/>
    <cellStyle name="Hyperlink" xfId="2" builtinId="8"/>
    <cellStyle name="Normal" xfId="0" builtinId="0"/>
  </cellStyles>
  <dxfs count="26">
    <dxf>
      <alignment horizontal="center" vertical="center" textRotation="0" wrapText="0" indent="0" justifyLastLine="0" shrinkToFit="0" readingOrder="0"/>
    </dxf>
    <dxf>
      <font>
        <color rgb="FF006100"/>
      </font>
      <fill>
        <patternFill>
          <bgColor rgb="FFC6EFCE"/>
        </patternFill>
      </fil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1" formatCode="0"/>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2"/>
        <color theme="1"/>
        <name val="Calibri"/>
        <family val="2"/>
        <scheme val="none"/>
      </font>
      <alignment vertical="center" textRotation="0" indent="0" justifyLastLine="0" shrinkToFit="0" readingOrder="0"/>
    </dxf>
    <dxf>
      <border outline="0">
        <bottom style="medium">
          <color indexed="64"/>
        </bottom>
      </border>
    </dxf>
    <dxf>
      <font>
        <b/>
        <i val="0"/>
        <strike val="0"/>
        <condense val="0"/>
        <extend val="0"/>
        <outline val="0"/>
        <shadow val="0"/>
        <u val="none"/>
        <vertAlign val="baseline"/>
        <sz val="12"/>
        <color theme="1"/>
        <name val="Calibri"/>
        <family val="2"/>
        <scheme val="none"/>
      </font>
      <alignment horizontal="center" vertical="center" textRotation="0" wrapText="0" indent="0" justifyLastLine="0" shrinkToFit="0" readingOrder="0"/>
    </dxf>
    <dxf>
      <border>
        <bottom style="thick">
          <color auto="1"/>
        </bottom>
      </border>
    </dxf>
    <dxf>
      <fill>
        <patternFill>
          <bgColor rgb="FFF5E7DC"/>
        </patternFill>
      </fill>
    </dxf>
    <dxf>
      <font>
        <b/>
        <i val="0"/>
      </font>
    </dxf>
    <dxf>
      <border>
        <top style="thick">
          <color auto="1"/>
        </top>
      </border>
    </dxf>
    <dxf>
      <font>
        <b/>
        <i val="0"/>
        <color auto="1"/>
      </font>
      <fill>
        <patternFill>
          <bgColor rgb="FFFD9D54"/>
        </patternFill>
      </fill>
      <border>
        <bottom style="thick">
          <color auto="1"/>
        </bottom>
      </border>
    </dxf>
    <dxf>
      <border>
        <bottom style="thick">
          <color auto="1"/>
        </bottom>
      </border>
    </dxf>
  </dxfs>
  <tableStyles count="1" defaultTableStyle="k-means format" defaultPivotStyle="PivotStyleLight16">
    <tableStyle name="k-means format" pivot="0" count="6" xr9:uid="{ED492A96-CDE2-47B7-B015-CCD71633E12C}">
      <tableStyleElement type="wholeTable" dxfId="25"/>
      <tableStyleElement type="headerRow" dxfId="24"/>
      <tableStyleElement type="totalRow" dxfId="23"/>
      <tableStyleElement type="firstColumn" dxfId="22"/>
      <tableStyleElement type="firstRowStripe" dxfId="21"/>
      <tableStyleElement type="firstTotalCell" dxfId="20"/>
    </tableStyle>
  </tableStyles>
  <colors>
    <mruColors>
      <color rgb="FFFD9D54"/>
      <color rgb="FF666C85"/>
      <color rgb="FFF9F3F3"/>
      <color rgb="FFF5E7DC"/>
      <color rgb="FFFFE3B2"/>
      <color rgb="FFFBAEA8"/>
      <color rgb="FFFFF9F6"/>
      <color rgb="FFF77F83"/>
      <color rgb="FF84C4AD"/>
      <color rgb="FF98D2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Scatter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1144041600"/>
        <c:axId val="1289241311"/>
      </c:scatterChart>
      <c:valAx>
        <c:axId val="11440416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petal_length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241311"/>
        <c:crosses val="autoZero"/>
        <c:crossBetween val="midCat"/>
      </c:valAx>
      <c:valAx>
        <c:axId val="12892413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petal_width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041600"/>
        <c:crosses val="autoZero"/>
        <c:crossBetween val="midCat"/>
      </c:valAx>
      <c:spPr>
        <a:noFill/>
        <a:ln>
          <a:noFill/>
        </a:ln>
        <a:effectLst/>
        <a:extLst>
          <a:ext uri="{909E8E84-426E-40DD-AFC4-6F175D3DCCD1}">
            <a14:hiddenFill xmlns:a14="http://schemas.microsoft.com/office/drawing/2010/main">
              <a:noFill/>
            </a14:hiddenFill>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Silhouette Scores by Number of Clusters (k)</a:t>
            </a:r>
          </a:p>
        </c:rich>
      </c:tx>
      <c:overlay val="0"/>
    </c:title>
    <c:autoTitleDeleted val="0"/>
    <c:plotArea>
      <c:layout/>
      <c:barChart>
        <c:barDir val="bar"/>
        <c:grouping val="clustered"/>
        <c:varyColors val="0"/>
        <c:ser>
          <c:idx val="0"/>
          <c:order val="0"/>
          <c:tx>
            <c:v/>
          </c:tx>
          <c:invertIfNegative val="0"/>
          <c:dPt>
            <c:idx val="0"/>
            <c:invertIfNegative val="0"/>
            <c:bubble3D val="0"/>
            <c:spPr>
              <a:solidFill>
                <a:srgbClr val="FD9D54"/>
              </a:solidFill>
            </c:spPr>
            <c:extLst>
              <c:ext xmlns:c16="http://schemas.microsoft.com/office/drawing/2014/chart" uri="{C3380CC4-5D6E-409C-BE32-E72D297353CC}">
                <c16:uniqueId val="{0000000D-23CB-4AB3-9C57-B26D5F249A1A}"/>
              </c:ext>
            </c:extLst>
          </c:dPt>
          <c:dPt>
            <c:idx val="1"/>
            <c:invertIfNegative val="0"/>
            <c:bubble3D val="0"/>
            <c:spPr>
              <a:solidFill>
                <a:srgbClr val="0066CC"/>
              </a:solidFill>
            </c:spPr>
            <c:extLst>
              <c:ext xmlns:c16="http://schemas.microsoft.com/office/drawing/2014/chart" uri="{C3380CC4-5D6E-409C-BE32-E72D297353CC}">
                <c16:uniqueId val="{0000000E-23CB-4AB3-9C57-B26D5F249A1A}"/>
              </c:ext>
            </c:extLst>
          </c:dPt>
          <c:dPt>
            <c:idx val="2"/>
            <c:invertIfNegative val="0"/>
            <c:bubble3D val="0"/>
            <c:spPr>
              <a:solidFill>
                <a:srgbClr val="0066CC"/>
              </a:solidFill>
            </c:spPr>
            <c:extLst>
              <c:ext xmlns:c16="http://schemas.microsoft.com/office/drawing/2014/chart" uri="{C3380CC4-5D6E-409C-BE32-E72D297353CC}">
                <c16:uniqueId val="{0000000F-23CB-4AB3-9C57-B26D5F249A1A}"/>
              </c:ext>
            </c:extLst>
          </c:dPt>
          <c:dLbls>
            <c:dLbl>
              <c:idx val="0"/>
              <c:tx>
                <c:rich>
                  <a:bodyPr/>
                  <a:lstStyle/>
                  <a:p>
                    <a:r>
                      <a:rPr lang="en-US"/>
                      <a:t>k = 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3CB-4AB3-9C57-B26D5F249A1A}"/>
                </c:ext>
              </c:extLst>
            </c:dLbl>
            <c:dLbl>
              <c:idx val="1"/>
              <c:tx>
                <c:rich>
                  <a:bodyPr/>
                  <a:lstStyle/>
                  <a:p>
                    <a:r>
                      <a:rPr lang="en-US"/>
                      <a:t>k = 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3CB-4AB3-9C57-B26D5F249A1A}"/>
                </c:ext>
              </c:extLst>
            </c:dLbl>
            <c:dLbl>
              <c:idx val="2"/>
              <c:tx>
                <c:rich>
                  <a:bodyPr/>
                  <a:lstStyle/>
                  <a:p>
                    <a:r>
                      <a:rPr lang="en-US"/>
                      <a:t>k = 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3CB-4AB3-9C57-B26D5F249A1A}"/>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chart_Internal!$A$2:$A$4</c:f>
              <c:numCache>
                <c:formatCode>General</c:formatCode>
                <c:ptCount val="3"/>
              </c:numCache>
            </c:numRef>
          </c:cat>
          <c:val>
            <c:numRef>
              <c:f>chart_Internal!$B$2:$B$4</c:f>
              <c:numCache>
                <c:formatCode>General</c:formatCode>
                <c:ptCount val="3"/>
              </c:numCache>
            </c:numRef>
          </c:val>
          <c:extLst>
            <c:ext xmlns:c16="http://schemas.microsoft.com/office/drawing/2014/chart" uri="{C3380CC4-5D6E-409C-BE32-E72D297353CC}">
              <c16:uniqueId val="{0000000C-23CB-4AB3-9C57-B26D5F249A1A}"/>
            </c:ext>
          </c:extLst>
        </c:ser>
        <c:dLbls>
          <c:showLegendKey val="0"/>
          <c:showVal val="0"/>
          <c:showCatName val="0"/>
          <c:showSerName val="0"/>
          <c:showPercent val="0"/>
          <c:showBubbleSize val="0"/>
        </c:dLbls>
        <c:gapWidth val="150"/>
        <c:axId val="635613455"/>
        <c:axId val="635616815"/>
      </c:barChart>
      <c:catAx>
        <c:axId val="635613455"/>
        <c:scaling>
          <c:orientation val="minMax"/>
        </c:scaling>
        <c:delete val="0"/>
        <c:axPos val="l"/>
        <c:numFmt formatCode="General" sourceLinked="1"/>
        <c:majorTickMark val="out"/>
        <c:minorTickMark val="none"/>
        <c:tickLblPos val="none"/>
        <c:crossAx val="635616815"/>
        <c:crosses val="autoZero"/>
        <c:auto val="1"/>
        <c:lblAlgn val="ctr"/>
        <c:lblOffset val="100"/>
        <c:noMultiLvlLbl val="0"/>
      </c:catAx>
      <c:valAx>
        <c:axId val="635616815"/>
        <c:scaling>
          <c:orientation val="minMax"/>
        </c:scaling>
        <c:delete val="0"/>
        <c:axPos val="b"/>
        <c:majorGridlines/>
        <c:title>
          <c:tx>
            <c:rich>
              <a:bodyPr/>
              <a:lstStyle/>
              <a:p>
                <a:pPr>
                  <a:defRPr/>
                </a:pPr>
                <a:r>
                  <a:rPr lang="en-US"/>
                  <a:t>Average Silhouette Score</a:t>
                </a:r>
              </a:p>
            </c:rich>
          </c:tx>
          <c:overlay val="0"/>
        </c:title>
        <c:numFmt formatCode="General" sourceLinked="1"/>
        <c:majorTickMark val="out"/>
        <c:minorTickMark val="none"/>
        <c:tickLblPos val="nextTo"/>
        <c:crossAx val="635613455"/>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Scatter Plot</a:t>
            </a:r>
          </a:p>
        </c:rich>
      </c:tx>
      <c:overlay val="0"/>
    </c:title>
    <c:autoTitleDeleted val="0"/>
    <c:plotArea>
      <c:layout/>
      <c:scatterChart>
        <c:scatterStyle val="lineMarker"/>
        <c:varyColors val="0"/>
        <c:ser>
          <c:idx val="0"/>
          <c:order val="0"/>
          <c:tx>
            <c:v>Cluster 3</c:v>
          </c:tx>
          <c:spPr>
            <a:ln w="38100">
              <a:noFill/>
            </a:ln>
          </c:spPr>
          <c:marker>
            <c:symbol val="circle"/>
            <c:size val="7"/>
          </c:marker>
          <c:xVal>
            <c:numLit>
              <c:formatCode>General</c:formatCode>
              <c:ptCount val="75"/>
              <c:pt idx="0">
                <c:v>5.0999999999999996</c:v>
              </c:pt>
              <c:pt idx="1">
                <c:v>5</c:v>
              </c:pt>
              <c:pt idx="2">
                <c:v>5.4</c:v>
              </c:pt>
              <c:pt idx="3">
                <c:v>5</c:v>
              </c:pt>
              <c:pt idx="4">
                <c:v>5.4</c:v>
              </c:pt>
              <c:pt idx="5">
                <c:v>4.8</c:v>
              </c:pt>
              <c:pt idx="6">
                <c:v>5.8</c:v>
              </c:pt>
              <c:pt idx="7">
                <c:v>5.7</c:v>
              </c:pt>
              <c:pt idx="8">
                <c:v>5.4</c:v>
              </c:pt>
              <c:pt idx="9">
                <c:v>5.0999999999999996</c:v>
              </c:pt>
              <c:pt idx="10">
                <c:v>5.7</c:v>
              </c:pt>
              <c:pt idx="11">
                <c:v>5.0999999999999996</c:v>
              </c:pt>
              <c:pt idx="12">
                <c:v>5.4</c:v>
              </c:pt>
              <c:pt idx="13">
                <c:v>5.0999999999999996</c:v>
              </c:pt>
              <c:pt idx="14">
                <c:v>4.5999999999999996</c:v>
              </c:pt>
              <c:pt idx="15">
                <c:v>4.8</c:v>
              </c:pt>
              <c:pt idx="16">
                <c:v>5</c:v>
              </c:pt>
              <c:pt idx="17">
                <c:v>5.2</c:v>
              </c:pt>
              <c:pt idx="18">
                <c:v>5.2</c:v>
              </c:pt>
              <c:pt idx="19">
                <c:v>5.4</c:v>
              </c:pt>
              <c:pt idx="20">
                <c:v>5.2</c:v>
              </c:pt>
              <c:pt idx="21">
                <c:v>5.5</c:v>
              </c:pt>
              <c:pt idx="22">
                <c:v>5.5</c:v>
              </c:pt>
              <c:pt idx="23">
                <c:v>5.0999999999999996</c:v>
              </c:pt>
              <c:pt idx="24">
                <c:v>5</c:v>
              </c:pt>
              <c:pt idx="25">
                <c:v>5</c:v>
              </c:pt>
              <c:pt idx="26">
                <c:v>5.0999999999999996</c:v>
              </c:pt>
              <c:pt idx="27">
                <c:v>5.0999999999999996</c:v>
              </c:pt>
              <c:pt idx="28">
                <c:v>5.3</c:v>
              </c:pt>
              <c:pt idx="29">
                <c:v>7</c:v>
              </c:pt>
              <c:pt idx="30">
                <c:v>6.4</c:v>
              </c:pt>
              <c:pt idx="31">
                <c:v>6.9</c:v>
              </c:pt>
              <c:pt idx="32">
                <c:v>6.3</c:v>
              </c:pt>
              <c:pt idx="33">
                <c:v>6.6</c:v>
              </c:pt>
              <c:pt idx="34">
                <c:v>6.7</c:v>
              </c:pt>
              <c:pt idx="35">
                <c:v>5.9</c:v>
              </c:pt>
              <c:pt idx="36">
                <c:v>6.6</c:v>
              </c:pt>
              <c:pt idx="37">
                <c:v>6.7</c:v>
              </c:pt>
              <c:pt idx="38">
                <c:v>6</c:v>
              </c:pt>
              <c:pt idx="39">
                <c:v>6.7</c:v>
              </c:pt>
              <c:pt idx="40">
                <c:v>6.1</c:v>
              </c:pt>
              <c:pt idx="41">
                <c:v>6.3</c:v>
              </c:pt>
              <c:pt idx="42">
                <c:v>7.1</c:v>
              </c:pt>
              <c:pt idx="43">
                <c:v>6.3</c:v>
              </c:pt>
              <c:pt idx="44">
                <c:v>6.5</c:v>
              </c:pt>
              <c:pt idx="45">
                <c:v>7.6</c:v>
              </c:pt>
              <c:pt idx="46">
                <c:v>7.3</c:v>
              </c:pt>
              <c:pt idx="47">
                <c:v>7.2</c:v>
              </c:pt>
              <c:pt idx="48">
                <c:v>6.5</c:v>
              </c:pt>
              <c:pt idx="49">
                <c:v>6.8</c:v>
              </c:pt>
              <c:pt idx="50">
                <c:v>6.4</c:v>
              </c:pt>
              <c:pt idx="51">
                <c:v>6.5</c:v>
              </c:pt>
              <c:pt idx="52">
                <c:v>7.7</c:v>
              </c:pt>
              <c:pt idx="53">
                <c:v>7.7</c:v>
              </c:pt>
              <c:pt idx="54">
                <c:v>6.9</c:v>
              </c:pt>
              <c:pt idx="55">
                <c:v>7.7</c:v>
              </c:pt>
              <c:pt idx="56">
                <c:v>6.7</c:v>
              </c:pt>
              <c:pt idx="57">
                <c:v>7.2</c:v>
              </c:pt>
              <c:pt idx="58">
                <c:v>6.1</c:v>
              </c:pt>
              <c:pt idx="59">
                <c:v>7.2</c:v>
              </c:pt>
              <c:pt idx="60">
                <c:v>7.4</c:v>
              </c:pt>
              <c:pt idx="61">
                <c:v>7.9</c:v>
              </c:pt>
              <c:pt idx="62">
                <c:v>7.7</c:v>
              </c:pt>
              <c:pt idx="63">
                <c:v>6.3</c:v>
              </c:pt>
              <c:pt idx="64">
                <c:v>6.4</c:v>
              </c:pt>
              <c:pt idx="65">
                <c:v>6</c:v>
              </c:pt>
              <c:pt idx="66">
                <c:v>6.9</c:v>
              </c:pt>
              <c:pt idx="67">
                <c:v>6.7</c:v>
              </c:pt>
              <c:pt idx="68">
                <c:v>6.9</c:v>
              </c:pt>
              <c:pt idx="69">
                <c:v>6.8</c:v>
              </c:pt>
              <c:pt idx="70">
                <c:v>6.7</c:v>
              </c:pt>
              <c:pt idx="71">
                <c:v>6.7</c:v>
              </c:pt>
              <c:pt idx="72">
                <c:v>6.5</c:v>
              </c:pt>
              <c:pt idx="73">
                <c:v>6.2</c:v>
              </c:pt>
              <c:pt idx="74">
                <c:v>5.9</c:v>
              </c:pt>
            </c:numLit>
          </c:xVal>
          <c:yVal>
            <c:numLit>
              <c:formatCode>General</c:formatCode>
              <c:ptCount val="75"/>
              <c:pt idx="0">
                <c:v>0.2</c:v>
              </c:pt>
              <c:pt idx="1">
                <c:v>0.2</c:v>
              </c:pt>
              <c:pt idx="2">
                <c:v>0.4</c:v>
              </c:pt>
              <c:pt idx="3">
                <c:v>0.2</c:v>
              </c:pt>
              <c:pt idx="4">
                <c:v>0.2</c:v>
              </c:pt>
              <c:pt idx="5">
                <c:v>0.2</c:v>
              </c:pt>
              <c:pt idx="6">
                <c:v>0.2</c:v>
              </c:pt>
              <c:pt idx="7">
                <c:v>0.4</c:v>
              </c:pt>
              <c:pt idx="8">
                <c:v>0.4</c:v>
              </c:pt>
              <c:pt idx="9">
                <c:v>0.3</c:v>
              </c:pt>
              <c:pt idx="10">
                <c:v>0.3</c:v>
              </c:pt>
              <c:pt idx="11">
                <c:v>0.3</c:v>
              </c:pt>
              <c:pt idx="12">
                <c:v>0.2</c:v>
              </c:pt>
              <c:pt idx="13">
                <c:v>0.4</c:v>
              </c:pt>
              <c:pt idx="14">
                <c:v>0.2</c:v>
              </c:pt>
              <c:pt idx="15">
                <c:v>0.2</c:v>
              </c:pt>
              <c:pt idx="16">
                <c:v>0.4</c:v>
              </c:pt>
              <c:pt idx="17">
                <c:v>0.2</c:v>
              </c:pt>
              <c:pt idx="18">
                <c:v>0.2</c:v>
              </c:pt>
              <c:pt idx="19">
                <c:v>0.4</c:v>
              </c:pt>
              <c:pt idx="20">
                <c:v>0.1</c:v>
              </c:pt>
              <c:pt idx="21">
                <c:v>0.2</c:v>
              </c:pt>
              <c:pt idx="22">
                <c:v>0.2</c:v>
              </c:pt>
              <c:pt idx="23">
                <c:v>0.2</c:v>
              </c:pt>
              <c:pt idx="24">
                <c:v>0.3</c:v>
              </c:pt>
              <c:pt idx="25">
                <c:v>0.6</c:v>
              </c:pt>
              <c:pt idx="26">
                <c:v>0.4</c:v>
              </c:pt>
              <c:pt idx="27">
                <c:v>0.2</c:v>
              </c:pt>
              <c:pt idx="28">
                <c:v>0.2</c:v>
              </c:pt>
              <c:pt idx="29">
                <c:v>1.4</c:v>
              </c:pt>
              <c:pt idx="30">
                <c:v>1.5</c:v>
              </c:pt>
              <c:pt idx="31">
                <c:v>1.5</c:v>
              </c:pt>
              <c:pt idx="32">
                <c:v>1.6</c:v>
              </c:pt>
              <c:pt idx="33">
                <c:v>1.3</c:v>
              </c:pt>
              <c:pt idx="34">
                <c:v>1.4</c:v>
              </c:pt>
              <c:pt idx="35">
                <c:v>1.8</c:v>
              </c:pt>
              <c:pt idx="36">
                <c:v>1.4</c:v>
              </c:pt>
              <c:pt idx="37">
                <c:v>1.7</c:v>
              </c:pt>
              <c:pt idx="38">
                <c:v>1.6</c:v>
              </c:pt>
              <c:pt idx="39">
                <c:v>1.5</c:v>
              </c:pt>
              <c:pt idx="40">
                <c:v>1.4</c:v>
              </c:pt>
              <c:pt idx="41">
                <c:v>2.5</c:v>
              </c:pt>
              <c:pt idx="42">
                <c:v>2.1</c:v>
              </c:pt>
              <c:pt idx="43">
                <c:v>1.8</c:v>
              </c:pt>
              <c:pt idx="44">
                <c:v>2.2000000000000002</c:v>
              </c:pt>
              <c:pt idx="45">
                <c:v>2.1</c:v>
              </c:pt>
              <c:pt idx="46">
                <c:v>1.8</c:v>
              </c:pt>
              <c:pt idx="47">
                <c:v>2.5</c:v>
              </c:pt>
              <c:pt idx="48">
                <c:v>2</c:v>
              </c:pt>
              <c:pt idx="49">
                <c:v>2.1</c:v>
              </c:pt>
              <c:pt idx="50">
                <c:v>2.2999999999999998</c:v>
              </c:pt>
              <c:pt idx="51">
                <c:v>1.8</c:v>
              </c:pt>
              <c:pt idx="52">
                <c:v>2.2000000000000002</c:v>
              </c:pt>
              <c:pt idx="53">
                <c:v>2.2999999999999998</c:v>
              </c:pt>
              <c:pt idx="54">
                <c:v>2.2999999999999998</c:v>
              </c:pt>
              <c:pt idx="55">
                <c:v>2</c:v>
              </c:pt>
              <c:pt idx="56">
                <c:v>2.1</c:v>
              </c:pt>
              <c:pt idx="57">
                <c:v>1.8</c:v>
              </c:pt>
              <c:pt idx="58">
                <c:v>1.8</c:v>
              </c:pt>
              <c:pt idx="59">
                <c:v>1.6</c:v>
              </c:pt>
              <c:pt idx="60">
                <c:v>1.9</c:v>
              </c:pt>
              <c:pt idx="61">
                <c:v>2</c:v>
              </c:pt>
              <c:pt idx="62">
                <c:v>2.2999999999999998</c:v>
              </c:pt>
              <c:pt idx="63">
                <c:v>2.4</c:v>
              </c:pt>
              <c:pt idx="64">
                <c:v>1.8</c:v>
              </c:pt>
              <c:pt idx="65">
                <c:v>1.8</c:v>
              </c:pt>
              <c:pt idx="66">
                <c:v>2.1</c:v>
              </c:pt>
              <c:pt idx="67">
                <c:v>2.4</c:v>
              </c:pt>
              <c:pt idx="68">
                <c:v>2.2999999999999998</c:v>
              </c:pt>
              <c:pt idx="69">
                <c:v>2.2999999999999998</c:v>
              </c:pt>
              <c:pt idx="70">
                <c:v>2.5</c:v>
              </c:pt>
              <c:pt idx="71">
                <c:v>2.2999999999999998</c:v>
              </c:pt>
              <c:pt idx="72">
                <c:v>2</c:v>
              </c:pt>
              <c:pt idx="73">
                <c:v>2.2999999999999998</c:v>
              </c:pt>
              <c:pt idx="74">
                <c:v>1.8</c:v>
              </c:pt>
            </c:numLit>
          </c:yVal>
          <c:smooth val="0"/>
          <c:extLst>
            <c:ext xmlns:c16="http://schemas.microsoft.com/office/drawing/2014/chart" uri="{C3380CC4-5D6E-409C-BE32-E72D297353CC}">
              <c16:uniqueId val="{00000036-668B-49E8-8823-B04BE9DD208D}"/>
            </c:ext>
          </c:extLst>
        </c:ser>
        <c:ser>
          <c:idx val="1"/>
          <c:order val="1"/>
          <c:tx>
            <c:v>Cluster 2</c:v>
          </c:tx>
          <c:spPr>
            <a:ln w="38100">
              <a:noFill/>
            </a:ln>
          </c:spPr>
          <c:marker>
            <c:symbol val="circle"/>
            <c:size val="7"/>
          </c:marker>
          <c:xVal>
            <c:numLit>
              <c:formatCode>General</c:formatCode>
              <c:ptCount val="44"/>
              <c:pt idx="0">
                <c:v>4.9000000000000004</c:v>
              </c:pt>
              <c:pt idx="1">
                <c:v>4.5999999999999996</c:v>
              </c:pt>
              <c:pt idx="2">
                <c:v>4.4000000000000004</c:v>
              </c:pt>
              <c:pt idx="3">
                <c:v>4.9000000000000004</c:v>
              </c:pt>
              <c:pt idx="4">
                <c:v>4.8</c:v>
              </c:pt>
              <c:pt idx="5">
                <c:v>4.3</c:v>
              </c:pt>
              <c:pt idx="6">
                <c:v>5</c:v>
              </c:pt>
              <c:pt idx="7">
                <c:v>4.8</c:v>
              </c:pt>
              <c:pt idx="8">
                <c:v>4.4000000000000004</c:v>
              </c:pt>
              <c:pt idx="9">
                <c:v>4.5</c:v>
              </c:pt>
              <c:pt idx="10">
                <c:v>4.4000000000000004</c:v>
              </c:pt>
              <c:pt idx="11">
                <c:v>4.8</c:v>
              </c:pt>
              <c:pt idx="12">
                <c:v>5.5</c:v>
              </c:pt>
              <c:pt idx="13">
                <c:v>5.7</c:v>
              </c:pt>
              <c:pt idx="14">
                <c:v>4.9000000000000004</c:v>
              </c:pt>
              <c:pt idx="15">
                <c:v>5.2</c:v>
              </c:pt>
              <c:pt idx="16">
                <c:v>5</c:v>
              </c:pt>
              <c:pt idx="17">
                <c:v>6</c:v>
              </c:pt>
              <c:pt idx="18">
                <c:v>5.8</c:v>
              </c:pt>
              <c:pt idx="19">
                <c:v>6.2</c:v>
              </c:pt>
              <c:pt idx="20">
                <c:v>5.6</c:v>
              </c:pt>
              <c:pt idx="21">
                <c:v>6.3</c:v>
              </c:pt>
              <c:pt idx="22">
                <c:v>6.1</c:v>
              </c:pt>
              <c:pt idx="23">
                <c:v>5.7</c:v>
              </c:pt>
              <c:pt idx="24">
                <c:v>5.5</c:v>
              </c:pt>
              <c:pt idx="25">
                <c:v>5.5</c:v>
              </c:pt>
              <c:pt idx="26">
                <c:v>5.8</c:v>
              </c:pt>
              <c:pt idx="27">
                <c:v>6</c:v>
              </c:pt>
              <c:pt idx="28">
                <c:v>6.3</c:v>
              </c:pt>
              <c:pt idx="29">
                <c:v>5.5</c:v>
              </c:pt>
              <c:pt idx="30">
                <c:v>5.5</c:v>
              </c:pt>
              <c:pt idx="31">
                <c:v>5.8</c:v>
              </c:pt>
              <c:pt idx="32">
                <c:v>5</c:v>
              </c:pt>
              <c:pt idx="33">
                <c:v>5.6</c:v>
              </c:pt>
              <c:pt idx="34">
                <c:v>5.0999999999999996</c:v>
              </c:pt>
              <c:pt idx="35">
                <c:v>5.7</c:v>
              </c:pt>
              <c:pt idx="36">
                <c:v>5.8</c:v>
              </c:pt>
              <c:pt idx="37">
                <c:v>4.9000000000000004</c:v>
              </c:pt>
              <c:pt idx="38">
                <c:v>6.7</c:v>
              </c:pt>
              <c:pt idx="39">
                <c:v>5.7</c:v>
              </c:pt>
              <c:pt idx="40">
                <c:v>6</c:v>
              </c:pt>
              <c:pt idx="41">
                <c:v>5.6</c:v>
              </c:pt>
              <c:pt idx="42">
                <c:v>6.1</c:v>
              </c:pt>
              <c:pt idx="43">
                <c:v>6.3</c:v>
              </c:pt>
            </c:numLit>
          </c:xVal>
          <c:yVal>
            <c:numLit>
              <c:formatCode>General</c:formatCode>
              <c:ptCount val="44"/>
              <c:pt idx="0">
                <c:v>0.2</c:v>
              </c:pt>
              <c:pt idx="1">
                <c:v>0.2</c:v>
              </c:pt>
              <c:pt idx="2">
                <c:v>0.2</c:v>
              </c:pt>
              <c:pt idx="3">
                <c:v>0.1</c:v>
              </c:pt>
              <c:pt idx="4">
                <c:v>0.1</c:v>
              </c:pt>
              <c:pt idx="5">
                <c:v>0.1</c:v>
              </c:pt>
              <c:pt idx="6">
                <c:v>0.2</c:v>
              </c:pt>
              <c:pt idx="7">
                <c:v>0.2</c:v>
              </c:pt>
              <c:pt idx="8">
                <c:v>0.2</c:v>
              </c:pt>
              <c:pt idx="9">
                <c:v>0.3</c:v>
              </c:pt>
              <c:pt idx="10">
                <c:v>0.2</c:v>
              </c:pt>
              <c:pt idx="11">
                <c:v>0.3</c:v>
              </c:pt>
              <c:pt idx="12">
                <c:v>1.3</c:v>
              </c:pt>
              <c:pt idx="13">
                <c:v>1.3</c:v>
              </c:pt>
              <c:pt idx="14">
                <c:v>1</c:v>
              </c:pt>
              <c:pt idx="15">
                <c:v>1.4</c:v>
              </c:pt>
              <c:pt idx="16">
                <c:v>1</c:v>
              </c:pt>
              <c:pt idx="17">
                <c:v>1</c:v>
              </c:pt>
              <c:pt idx="18">
                <c:v>1</c:v>
              </c:pt>
              <c:pt idx="19">
                <c:v>1.5</c:v>
              </c:pt>
              <c:pt idx="20">
                <c:v>1.1000000000000001</c:v>
              </c:pt>
              <c:pt idx="21">
                <c:v>1.5</c:v>
              </c:pt>
              <c:pt idx="22">
                <c:v>1.2</c:v>
              </c:pt>
              <c:pt idx="23">
                <c:v>1</c:v>
              </c:pt>
              <c:pt idx="24">
                <c:v>1.1000000000000001</c:v>
              </c:pt>
              <c:pt idx="25">
                <c:v>1</c:v>
              </c:pt>
              <c:pt idx="26">
                <c:v>1.2</c:v>
              </c:pt>
              <c:pt idx="27">
                <c:v>1.6</c:v>
              </c:pt>
              <c:pt idx="28">
                <c:v>1.3</c:v>
              </c:pt>
              <c:pt idx="29">
                <c:v>1.3</c:v>
              </c:pt>
              <c:pt idx="30">
                <c:v>1.2</c:v>
              </c:pt>
              <c:pt idx="31">
                <c:v>1.2</c:v>
              </c:pt>
              <c:pt idx="32">
                <c:v>1</c:v>
              </c:pt>
              <c:pt idx="33">
                <c:v>1.3</c:v>
              </c:pt>
              <c:pt idx="34">
                <c:v>1.1000000000000001</c:v>
              </c:pt>
              <c:pt idx="35">
                <c:v>1.3</c:v>
              </c:pt>
              <c:pt idx="36">
                <c:v>1.9</c:v>
              </c:pt>
              <c:pt idx="37">
                <c:v>1.7</c:v>
              </c:pt>
              <c:pt idx="38">
                <c:v>1.8</c:v>
              </c:pt>
              <c:pt idx="39">
                <c:v>2</c:v>
              </c:pt>
              <c:pt idx="40">
                <c:v>1.5</c:v>
              </c:pt>
              <c:pt idx="41">
                <c:v>2</c:v>
              </c:pt>
              <c:pt idx="42">
                <c:v>1.4</c:v>
              </c:pt>
              <c:pt idx="43">
                <c:v>1.9</c:v>
              </c:pt>
            </c:numLit>
          </c:yVal>
          <c:smooth val="0"/>
          <c:extLst>
            <c:ext xmlns:c16="http://schemas.microsoft.com/office/drawing/2014/chart" uri="{C3380CC4-5D6E-409C-BE32-E72D297353CC}">
              <c16:uniqueId val="{00000037-668B-49E8-8823-B04BE9DD208D}"/>
            </c:ext>
          </c:extLst>
        </c:ser>
        <c:ser>
          <c:idx val="2"/>
          <c:order val="2"/>
          <c:tx>
            <c:v>Cluster 1</c:v>
          </c:tx>
          <c:spPr>
            <a:ln w="38100">
              <a:noFill/>
            </a:ln>
          </c:spPr>
          <c:marker>
            <c:symbol val="circle"/>
            <c:size val="7"/>
          </c:marker>
          <c:xVal>
            <c:numLit>
              <c:formatCode>General</c:formatCode>
              <c:ptCount val="28"/>
              <c:pt idx="0">
                <c:v>4.7</c:v>
              </c:pt>
              <c:pt idx="1">
                <c:v>4.5999999999999996</c:v>
              </c:pt>
              <c:pt idx="2">
                <c:v>5.0999999999999996</c:v>
              </c:pt>
              <c:pt idx="3">
                <c:v>4.7</c:v>
              </c:pt>
              <c:pt idx="4">
                <c:v>5</c:v>
              </c:pt>
              <c:pt idx="5">
                <c:v>4.5999999999999996</c:v>
              </c:pt>
              <c:pt idx="6">
                <c:v>5</c:v>
              </c:pt>
              <c:pt idx="7">
                <c:v>6.5</c:v>
              </c:pt>
              <c:pt idx="8">
                <c:v>5.9</c:v>
              </c:pt>
              <c:pt idx="9">
                <c:v>6.1</c:v>
              </c:pt>
              <c:pt idx="10">
                <c:v>5.6</c:v>
              </c:pt>
              <c:pt idx="11">
                <c:v>5.6</c:v>
              </c:pt>
              <c:pt idx="12">
                <c:v>6.1</c:v>
              </c:pt>
              <c:pt idx="13">
                <c:v>6.4</c:v>
              </c:pt>
              <c:pt idx="14">
                <c:v>6.8</c:v>
              </c:pt>
              <c:pt idx="15">
                <c:v>6</c:v>
              </c:pt>
              <c:pt idx="16">
                <c:v>5.4</c:v>
              </c:pt>
              <c:pt idx="17">
                <c:v>5.6</c:v>
              </c:pt>
              <c:pt idx="18">
                <c:v>5.7</c:v>
              </c:pt>
              <c:pt idx="19">
                <c:v>5.7</c:v>
              </c:pt>
              <c:pt idx="20">
                <c:v>6.2</c:v>
              </c:pt>
              <c:pt idx="21">
                <c:v>6.4</c:v>
              </c:pt>
              <c:pt idx="22">
                <c:v>5.8</c:v>
              </c:pt>
              <c:pt idx="23">
                <c:v>6.3</c:v>
              </c:pt>
              <c:pt idx="24">
                <c:v>6.2</c:v>
              </c:pt>
              <c:pt idx="25">
                <c:v>6.4</c:v>
              </c:pt>
              <c:pt idx="26">
                <c:v>6.4</c:v>
              </c:pt>
              <c:pt idx="27">
                <c:v>6.3</c:v>
              </c:pt>
            </c:numLit>
          </c:xVal>
          <c:yVal>
            <c:numLit>
              <c:formatCode>General</c:formatCode>
              <c:ptCount val="28"/>
              <c:pt idx="0">
                <c:v>0.2</c:v>
              </c:pt>
              <c:pt idx="1">
                <c:v>0.3</c:v>
              </c:pt>
              <c:pt idx="2">
                <c:v>0.5</c:v>
              </c:pt>
              <c:pt idx="3">
                <c:v>0.2</c:v>
              </c:pt>
              <c:pt idx="4">
                <c:v>0.2</c:v>
              </c:pt>
              <c:pt idx="5">
                <c:v>0.2</c:v>
              </c:pt>
              <c:pt idx="6">
                <c:v>0.2</c:v>
              </c:pt>
              <c:pt idx="7">
                <c:v>1.5</c:v>
              </c:pt>
              <c:pt idx="8">
                <c:v>1.5</c:v>
              </c:pt>
              <c:pt idx="9">
                <c:v>1.4</c:v>
              </c:pt>
              <c:pt idx="10">
                <c:v>1.3</c:v>
              </c:pt>
              <c:pt idx="11">
                <c:v>1.5</c:v>
              </c:pt>
              <c:pt idx="12">
                <c:v>1.3</c:v>
              </c:pt>
              <c:pt idx="13">
                <c:v>1.3</c:v>
              </c:pt>
              <c:pt idx="14">
                <c:v>1.4</c:v>
              </c:pt>
              <c:pt idx="15">
                <c:v>1.5</c:v>
              </c:pt>
              <c:pt idx="16">
                <c:v>1.5</c:v>
              </c:pt>
              <c:pt idx="17">
                <c:v>1.3</c:v>
              </c:pt>
              <c:pt idx="18">
                <c:v>1.2</c:v>
              </c:pt>
              <c:pt idx="19">
                <c:v>1.3</c:v>
              </c:pt>
              <c:pt idx="20">
                <c:v>1.3</c:v>
              </c:pt>
              <c:pt idx="21">
                <c:v>1.9</c:v>
              </c:pt>
              <c:pt idx="22">
                <c:v>2.4</c:v>
              </c:pt>
              <c:pt idx="23">
                <c:v>1.8</c:v>
              </c:pt>
              <c:pt idx="24">
                <c:v>1.8</c:v>
              </c:pt>
              <c:pt idx="25">
                <c:v>2.1</c:v>
              </c:pt>
              <c:pt idx="26">
                <c:v>2.2000000000000002</c:v>
              </c:pt>
              <c:pt idx="27">
                <c:v>1.5</c:v>
              </c:pt>
            </c:numLit>
          </c:yVal>
          <c:smooth val="0"/>
          <c:extLst>
            <c:ext xmlns:c16="http://schemas.microsoft.com/office/drawing/2014/chart" uri="{C3380CC4-5D6E-409C-BE32-E72D297353CC}">
              <c16:uniqueId val="{00000038-668B-49E8-8823-B04BE9DD208D}"/>
            </c:ext>
          </c:extLst>
        </c:ser>
        <c:ser>
          <c:idx val="3"/>
          <c:order val="3"/>
          <c:tx>
            <c:v>Centroid 3</c:v>
          </c:tx>
          <c:spPr>
            <a:ln w="38100">
              <a:solidFill>
                <a:schemeClr val="tx1"/>
              </a:solidFill>
            </a:ln>
            <a:effectLst>
              <a:glow rad="101600">
                <a:srgbClr val="FFA500">
                  <a:alpha val="80000"/>
                </a:srgbClr>
              </a:glow>
            </a:effectLst>
          </c:spPr>
          <c:marker>
            <c:symbol val="plus"/>
            <c:size val="12"/>
            <c:spPr>
              <a:ln w="38100">
                <a:solidFill>
                  <a:srgbClr val="000000"/>
                </a:solidFill>
                <a:prstDash val="solid"/>
              </a:ln>
              <a:effectLst>
                <a:glow rad="101600">
                  <a:srgbClr val="FFA500">
                    <a:alpha val="80000"/>
                  </a:srgbClr>
                </a:glow>
              </a:effectLst>
            </c:spPr>
          </c:marker>
          <c:xVal>
            <c:numLit>
              <c:formatCode>General</c:formatCode>
              <c:ptCount val="1"/>
              <c:pt idx="0">
                <c:v>5.2</c:v>
              </c:pt>
            </c:numLit>
          </c:xVal>
          <c:yVal>
            <c:numLit>
              <c:formatCode>General</c:formatCode>
              <c:ptCount val="1"/>
              <c:pt idx="0">
                <c:v>0.19999999999999993</c:v>
              </c:pt>
            </c:numLit>
          </c:yVal>
          <c:smooth val="0"/>
          <c:extLst>
            <c:ext xmlns:c16="http://schemas.microsoft.com/office/drawing/2014/chart" uri="{C3380CC4-5D6E-409C-BE32-E72D297353CC}">
              <c16:uniqueId val="{00000039-668B-49E8-8823-B04BE9DD208D}"/>
            </c:ext>
          </c:extLst>
        </c:ser>
        <c:ser>
          <c:idx val="4"/>
          <c:order val="4"/>
          <c:tx>
            <c:v>Centroid 2</c:v>
          </c:tx>
          <c:spPr>
            <a:ln w="38100">
              <a:solidFill>
                <a:schemeClr val="tx1"/>
              </a:solidFill>
            </a:ln>
            <a:effectLst>
              <a:glow rad="101600">
                <a:srgbClr val="FFA500">
                  <a:alpha val="80000"/>
                </a:srgbClr>
              </a:glow>
            </a:effectLst>
          </c:spPr>
          <c:marker>
            <c:symbol val="plus"/>
            <c:size val="12"/>
            <c:spPr>
              <a:ln w="38100">
                <a:solidFill>
                  <a:srgbClr val="000000"/>
                </a:solidFill>
                <a:prstDash val="solid"/>
              </a:ln>
              <a:effectLst>
                <a:glow rad="101600">
                  <a:srgbClr val="FFA500">
                    <a:alpha val="80000"/>
                  </a:srgbClr>
                </a:glow>
              </a:effectLst>
            </c:spPr>
          </c:marker>
          <c:xVal>
            <c:numLit>
              <c:formatCode>General</c:formatCode>
              <c:ptCount val="1"/>
              <c:pt idx="0">
                <c:v>4.8</c:v>
              </c:pt>
            </c:numLit>
          </c:xVal>
          <c:yVal>
            <c:numLit>
              <c:formatCode>General</c:formatCode>
              <c:ptCount val="1"/>
              <c:pt idx="0">
                <c:v>0.1000000000000001</c:v>
              </c:pt>
            </c:numLit>
          </c:yVal>
          <c:smooth val="0"/>
          <c:extLst>
            <c:ext xmlns:c16="http://schemas.microsoft.com/office/drawing/2014/chart" uri="{C3380CC4-5D6E-409C-BE32-E72D297353CC}">
              <c16:uniqueId val="{0000003A-668B-49E8-8823-B04BE9DD208D}"/>
            </c:ext>
          </c:extLst>
        </c:ser>
        <c:ser>
          <c:idx val="5"/>
          <c:order val="5"/>
          <c:tx>
            <c:v>Centroid 1</c:v>
          </c:tx>
          <c:spPr>
            <a:ln w="38100">
              <a:solidFill>
                <a:schemeClr val="tx1"/>
              </a:solidFill>
            </a:ln>
            <a:effectLst>
              <a:glow rad="101600">
                <a:srgbClr val="FFA500">
                  <a:alpha val="80000"/>
                </a:srgbClr>
              </a:glow>
            </a:effectLst>
          </c:spPr>
          <c:marker>
            <c:symbol val="plus"/>
            <c:size val="12"/>
            <c:spPr>
              <a:ln w="38100">
                <a:solidFill>
                  <a:srgbClr val="000000"/>
                </a:solidFill>
                <a:prstDash val="solid"/>
              </a:ln>
              <a:effectLst>
                <a:glow rad="101600">
                  <a:srgbClr val="FFA500">
                    <a:alpha val="80000"/>
                  </a:srgbClr>
                </a:glow>
              </a:effectLst>
            </c:spPr>
          </c:marker>
          <c:xVal>
            <c:numLit>
              <c:formatCode>General</c:formatCode>
              <c:ptCount val="1"/>
              <c:pt idx="0">
                <c:v>5</c:v>
              </c:pt>
            </c:numLit>
          </c:xVal>
          <c:yVal>
            <c:numLit>
              <c:formatCode>General</c:formatCode>
              <c:ptCount val="1"/>
              <c:pt idx="0">
                <c:v>0.19999999999999993</c:v>
              </c:pt>
            </c:numLit>
          </c:yVal>
          <c:smooth val="0"/>
          <c:extLst>
            <c:ext xmlns:c16="http://schemas.microsoft.com/office/drawing/2014/chart" uri="{C3380CC4-5D6E-409C-BE32-E72D297353CC}">
              <c16:uniqueId val="{0000003B-668B-49E8-8823-B04BE9DD208D}"/>
            </c:ext>
          </c:extLst>
        </c:ser>
        <c:dLbls>
          <c:showLegendKey val="0"/>
          <c:showVal val="0"/>
          <c:showCatName val="0"/>
          <c:showSerName val="0"/>
          <c:showPercent val="0"/>
          <c:showBubbleSize val="0"/>
        </c:dLbls>
        <c:axId val="1182737439"/>
        <c:axId val="769099856"/>
      </c:scatterChart>
      <c:valAx>
        <c:axId val="1182737439"/>
        <c:scaling>
          <c:orientation val="minMax"/>
        </c:scaling>
        <c:delete val="0"/>
        <c:axPos val="b"/>
        <c:title>
          <c:tx>
            <c:rich>
              <a:bodyPr/>
              <a:lstStyle/>
              <a:p>
                <a:pPr>
                  <a:defRPr/>
                </a:pPr>
                <a:r>
                  <a:rPr lang="en-US"/>
                  <a:t>sepal_length</a:t>
                </a:r>
              </a:p>
            </c:rich>
          </c:tx>
          <c:overlay val="0"/>
        </c:title>
        <c:numFmt formatCode="General" sourceLinked="1"/>
        <c:majorTickMark val="out"/>
        <c:minorTickMark val="none"/>
        <c:tickLblPos val="nextTo"/>
        <c:crossAx val="769099856"/>
        <c:crosses val="autoZero"/>
        <c:crossBetween val="midCat"/>
      </c:valAx>
      <c:valAx>
        <c:axId val="769099856"/>
        <c:scaling>
          <c:orientation val="minMax"/>
        </c:scaling>
        <c:delete val="0"/>
        <c:axPos val="l"/>
        <c:majorGridlines/>
        <c:title>
          <c:tx>
            <c:rich>
              <a:bodyPr/>
              <a:lstStyle/>
              <a:p>
                <a:pPr>
                  <a:defRPr/>
                </a:pPr>
                <a:r>
                  <a:rPr lang="en-US"/>
                  <a:t>petal_width</a:t>
                </a:r>
              </a:p>
            </c:rich>
          </c:tx>
          <c:overlay val="0"/>
        </c:title>
        <c:numFmt formatCode="General" sourceLinked="1"/>
        <c:majorTickMark val="out"/>
        <c:minorTickMark val="none"/>
        <c:tickLblPos val="nextTo"/>
        <c:crossAx val="1182737439"/>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C$11" max="30000" min="2" page="10" val="3"/>
</file>

<file path=xl/ctrlProps/ctrlProp2.xml><?xml version="1.0" encoding="utf-8"?>
<formControlPr xmlns="http://schemas.microsoft.com/office/spreadsheetml/2009/9/main" objectType="Spin" dx="26" fmlaLink="$E$11" max="30000" min="3" page="10" val="5"/>
</file>

<file path=xl/ctrlProps/ctrlProp3.xml><?xml version="1.0" encoding="utf-8"?>
<formControlPr xmlns="http://schemas.microsoft.com/office/spreadsheetml/2009/9/main" objectType="Spin" dx="26" fmlaLink="$E$18" max="10" page="10"/>
</file>

<file path=xl/ctrlProps/ctrlProp4.xml><?xml version="1.0" encoding="utf-8"?>
<formControlPr xmlns="http://schemas.microsoft.com/office/spreadsheetml/2009/9/main" objectType="Spin" dx="26" fmlaLink="$E$19" max="30000" min="50" page="10" val="300"/>
</file>

<file path=xl/ctrlProps/ctrlProp5.xml><?xml version="1.0" encoding="utf-8"?>
<formControlPr xmlns="http://schemas.microsoft.com/office/spreadsheetml/2009/9/main" objectType="Drop" dropLines="5" dropStyle="combo" dx="26" fmlaLink="$E$17" fmlaRange="Data_Internal!$E$2:$E$4" noThreeD="1" sel="1" val="0"/>
</file>

<file path=xl/ctrlProps/ctrlProp6.xml><?xml version="1.0" encoding="utf-8"?>
<formControlPr xmlns="http://schemas.microsoft.com/office/spreadsheetml/2009/9/main" objectType="Spin" dx="26" fmlaLink="$E$8" max="30000" min="2" page="10" val="3"/>
</file>

<file path=xl/ctrlProps/ctrlProp7.xml><?xml version="1.0" encoding="utf-8"?>
<formControlPr xmlns="http://schemas.microsoft.com/office/spreadsheetml/2009/9/main" objectType="Drop" dropLines="5" dropStyle="combo" dx="26" fmlaLink="E25" fmlaRange="numVarList" noThreeD="1" sel="1" val="0"/>
</file>

<file path=xl/ctrlProps/ctrlProp8.xml><?xml version="1.0" encoding="utf-8"?>
<formControlPr xmlns="http://schemas.microsoft.com/office/spreadsheetml/2009/9/main" objectType="Drop" dropLines="5" dropStyle="combo" dx="26" fmlaLink="E26" fmlaRange="numVarList" noThreeD="1" sel="1" val="0"/>
</file>

<file path=xl/ctrlProps/ctrlProp9.xml><?xml version="1.0" encoding="utf-8"?>
<formControlPr xmlns="http://schemas.microsoft.com/office/spreadsheetml/2009/9/main" objectType="Drop" dropLines="5" dropStyle="combo" dx="26" fmlaLink="E29" fmlaRange="cateVarList"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3" Type="http://schemas.openxmlformats.org/officeDocument/2006/relationships/hyperlink" Target="#RESULT_TABLE!A1"/><Relationship Id="rId2" Type="http://schemas.openxmlformats.org/officeDocument/2006/relationships/hyperlink" Target="#ABOUT!A1"/><Relationship Id="rId1" Type="http://schemas.openxmlformats.org/officeDocument/2006/relationships/hyperlink" Target="#HOME!A1"/><Relationship Id="rId6" Type="http://schemas.openxmlformats.org/officeDocument/2006/relationships/hyperlink" Target="#Raw_Data!A1"/><Relationship Id="rId5" Type="http://schemas.openxmlformats.org/officeDocument/2006/relationships/hyperlink" Target="#Centroid!C3"/><Relationship Id="rId4"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 Id="rId4" Type="http://schemas.openxmlformats.org/officeDocument/2006/relationships/hyperlink" Target="#Distance!A2"/></Relationships>
</file>

<file path=xl/drawings/_rels/drawing8.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6.png"/><Relationship Id="rId1" Type="http://schemas.openxmlformats.org/officeDocument/2006/relationships/hyperlink" Target="#Centroid!C3"/></Relationships>
</file>

<file path=xl/drawings/_rels/drawing9.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3.png"/><Relationship Id="rId1" Type="http://schemas.openxmlformats.org/officeDocument/2006/relationships/hyperlink" Target="#HOME!A1"/><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213360</xdr:colOff>
      <xdr:row>1</xdr:row>
      <xdr:rowOff>7620</xdr:rowOff>
    </xdr:to>
    <xdr:pic>
      <xdr:nvPicPr>
        <xdr:cNvPr id="2" name="HomeIcon" descr="Home with solid fill">
          <a:hlinkClick xmlns:r="http://schemas.openxmlformats.org/officeDocument/2006/relationships" r:id="rId1"/>
          <a:extLst>
            <a:ext uri="{FF2B5EF4-FFF2-40B4-BE49-F238E27FC236}">
              <a16:creationId xmlns:a16="http://schemas.microsoft.com/office/drawing/2014/main" id="{8ED20654-05A9-446F-9B31-088D65144B8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13360" cy="2133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13550</xdr:rowOff>
    </xdr:from>
    <xdr:to>
      <xdr:col>18</xdr:col>
      <xdr:colOff>739140</xdr:colOff>
      <xdr:row>2</xdr:row>
      <xdr:rowOff>82540</xdr:rowOff>
    </xdr:to>
    <xdr:sp macro="" textlink="">
      <xdr:nvSpPr>
        <xdr:cNvPr id="5" name="Rectangle 4">
          <a:extLst>
            <a:ext uri="{FF2B5EF4-FFF2-40B4-BE49-F238E27FC236}">
              <a16:creationId xmlns:a16="http://schemas.microsoft.com/office/drawing/2014/main" id="{232B6A8D-E063-D2BB-2CEC-58A1227FEE04}"/>
            </a:ext>
          </a:extLst>
        </xdr:cNvPr>
        <xdr:cNvSpPr>
          <a:spLocks noChangeAspect="1"/>
        </xdr:cNvSpPr>
      </xdr:nvSpPr>
      <xdr:spPr>
        <a:xfrm>
          <a:off x="0" y="13550"/>
          <a:ext cx="14180820" cy="434750"/>
        </a:xfrm>
        <a:prstGeom prst="rect">
          <a:avLst/>
        </a:prstGeom>
        <a:noFill/>
      </xdr:spPr>
      <xdr:txBody>
        <a:bodyPr wrap="none" lIns="91440" tIns="45720" rIns="91440" bIns="45720" anchor="ctr">
          <a:noAutofit/>
        </a:bodyPr>
        <a:lstStyle/>
        <a:p>
          <a:pPr algn="ctr"/>
          <a:r>
            <a:rPr lang="en-US" sz="3200" b="1" cap="none" spc="0">
              <a:ln w="9525">
                <a:solidFill>
                  <a:srgbClr val="666C85"/>
                </a:solidFill>
                <a:prstDash val="solid"/>
              </a:ln>
              <a:pattFill prst="dkUpDiag">
                <a:fgClr>
                  <a:srgbClr val="FFE3B2"/>
                </a:fgClr>
                <a:bgClr>
                  <a:srgbClr val="FD9D54"/>
                </a:bgClr>
              </a:pattFill>
              <a:effectLst>
                <a:outerShdw dist="38100" dir="2640000" algn="bl" rotWithShape="0">
                  <a:schemeClr val="tx2">
                    <a:lumMod val="75000"/>
                  </a:schemeClr>
                </a:outerShdw>
              </a:effectLst>
              <a:latin typeface="Arial Black" panose="020B0A04020102020204" pitchFamily="34" charset="0"/>
            </a:rPr>
            <a:t>Welcome to the K-Means Clustering Tool</a:t>
          </a:r>
        </a:p>
      </xdr:txBody>
    </xdr:sp>
    <xdr:clientData/>
  </xdr:twoCellAnchor>
  <xdr:twoCellAnchor>
    <xdr:from>
      <xdr:col>8</xdr:col>
      <xdr:colOff>544981</xdr:colOff>
      <xdr:row>30</xdr:row>
      <xdr:rowOff>9054</xdr:rowOff>
    </xdr:from>
    <xdr:to>
      <xdr:col>10</xdr:col>
      <xdr:colOff>186841</xdr:colOff>
      <xdr:row>31</xdr:row>
      <xdr:rowOff>228600</xdr:rowOff>
    </xdr:to>
    <xdr:grpSp>
      <xdr:nvGrpSpPr>
        <xdr:cNvPr id="6" name="Group 5">
          <a:hlinkClick xmlns:r="http://schemas.openxmlformats.org/officeDocument/2006/relationships" r:id="rId1"/>
          <a:extLst>
            <a:ext uri="{FF2B5EF4-FFF2-40B4-BE49-F238E27FC236}">
              <a16:creationId xmlns:a16="http://schemas.microsoft.com/office/drawing/2014/main" id="{E4F8BF0E-7DB1-2DC2-11DD-594D1E459D3B}"/>
            </a:ext>
          </a:extLst>
        </xdr:cNvPr>
        <xdr:cNvGrpSpPr/>
      </xdr:nvGrpSpPr>
      <xdr:grpSpPr>
        <a:xfrm>
          <a:off x="6519061" y="6524154"/>
          <a:ext cx="1135380" cy="402426"/>
          <a:chOff x="6397141" y="5807874"/>
          <a:chExt cx="1104900" cy="402426"/>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30FE879-463F-48F2-854A-8ED503BF94E7}"/>
              </a:ext>
            </a:extLst>
          </xdr:cNvPr>
          <xdr:cNvSpPr/>
        </xdr:nvSpPr>
        <xdr:spPr>
          <a:xfrm>
            <a:off x="6397141" y="5807874"/>
            <a:ext cx="1104900" cy="249500"/>
          </a:xfrm>
          <a:prstGeom prst="roundRect">
            <a:avLst/>
          </a:prstGeom>
          <a:solidFill>
            <a:srgbClr val="FD9D54"/>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Get Started</a:t>
            </a:r>
          </a:p>
        </xdr:txBody>
      </xdr:sp>
      <xdr:sp macro="" textlink="">
        <xdr:nvSpPr>
          <xdr:cNvPr id="3" name="TextBox 2">
            <a:extLst>
              <a:ext uri="{FF2B5EF4-FFF2-40B4-BE49-F238E27FC236}">
                <a16:creationId xmlns:a16="http://schemas.microsoft.com/office/drawing/2014/main" id="{9667C4BA-15D2-9F45-ED4A-6A559D3B9D97}"/>
              </a:ext>
            </a:extLst>
          </xdr:cNvPr>
          <xdr:cNvSpPr txBox="1"/>
        </xdr:nvSpPr>
        <xdr:spPr>
          <a:xfrm>
            <a:off x="6492391" y="6050280"/>
            <a:ext cx="914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rgbClr val="666C85"/>
                </a:solidFill>
                <a:latin typeface="Calibri" panose="020F0502020204030204" pitchFamily="34" charset="0"/>
                <a:ea typeface="Calibri" panose="020F0502020204030204" pitchFamily="34" charset="0"/>
                <a:cs typeface="Calibri" panose="020F0502020204030204" pitchFamily="34" charset="0"/>
              </a:rPr>
              <a:t>-Go To HOME-</a:t>
            </a:r>
          </a:p>
        </xdr:txBody>
      </xdr:sp>
    </xdr:grpSp>
    <xdr:clientData/>
  </xdr:twoCellAnchor>
  <xdr:twoCellAnchor editAs="oneCell">
    <xdr:from>
      <xdr:col>13</xdr:col>
      <xdr:colOff>739140</xdr:colOff>
      <xdr:row>7</xdr:row>
      <xdr:rowOff>129541</xdr:rowOff>
    </xdr:from>
    <xdr:to>
      <xdr:col>17</xdr:col>
      <xdr:colOff>739140</xdr:colOff>
      <xdr:row>16</xdr:row>
      <xdr:rowOff>87631</xdr:rowOff>
    </xdr:to>
    <xdr:pic>
      <xdr:nvPicPr>
        <xdr:cNvPr id="7" name="Picture 6">
          <a:extLst>
            <a:ext uri="{FF2B5EF4-FFF2-40B4-BE49-F238E27FC236}">
              <a16:creationId xmlns:a16="http://schemas.microsoft.com/office/drawing/2014/main" id="{690A8E1A-62B9-6048-0738-31F5FB42FC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7020" y="1470661"/>
          <a:ext cx="2987040" cy="1680210"/>
        </a:xfrm>
        <a:prstGeom prst="rect">
          <a:avLst/>
        </a:prstGeom>
        <a:effectLst>
          <a:outerShdw blurRad="50800" dist="38100" dir="2700000" algn="tl" rotWithShape="0">
            <a:prstClr val="black">
              <a:alpha val="40000"/>
            </a:prst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728472</xdr:colOff>
      <xdr:row>0</xdr:row>
      <xdr:rowOff>82278</xdr:rowOff>
    </xdr:from>
    <xdr:to>
      <xdr:col>3</xdr:col>
      <xdr:colOff>0</xdr:colOff>
      <xdr:row>2</xdr:row>
      <xdr:rowOff>9584</xdr:rowOff>
    </xdr:to>
    <xdr:sp macro="" textlink="">
      <xdr:nvSpPr>
        <xdr:cNvPr id="3" name="btnHome">
          <a:hlinkClick xmlns:r="http://schemas.openxmlformats.org/officeDocument/2006/relationships" r:id="rId1"/>
          <a:extLst>
            <a:ext uri="{FF2B5EF4-FFF2-40B4-BE49-F238E27FC236}">
              <a16:creationId xmlns:a16="http://schemas.microsoft.com/office/drawing/2014/main" id="{926C3D4E-0811-681D-6433-BC4841AA8DF8}"/>
            </a:ext>
          </a:extLst>
        </xdr:cNvPr>
        <xdr:cNvSpPr/>
      </xdr:nvSpPr>
      <xdr:spPr>
        <a:xfrm>
          <a:off x="880872" y="82278"/>
          <a:ext cx="734568" cy="247346"/>
        </a:xfrm>
        <a:prstGeom prst="round2Diag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HOME</a:t>
          </a:r>
        </a:p>
      </xdr:txBody>
    </xdr:sp>
    <xdr:clientData/>
  </xdr:twoCellAnchor>
  <xdr:twoCellAnchor>
    <xdr:from>
      <xdr:col>3</xdr:col>
      <xdr:colOff>386080</xdr:colOff>
      <xdr:row>0</xdr:row>
      <xdr:rowOff>82278</xdr:rowOff>
    </xdr:from>
    <xdr:to>
      <xdr:col>4</xdr:col>
      <xdr:colOff>386080</xdr:colOff>
      <xdr:row>2</xdr:row>
      <xdr:rowOff>9584</xdr:rowOff>
    </xdr:to>
    <xdr:sp macro="" textlink="">
      <xdr:nvSpPr>
        <xdr:cNvPr id="4" name="btnAbout">
          <a:hlinkClick xmlns:r="http://schemas.openxmlformats.org/officeDocument/2006/relationships" r:id="rId2"/>
          <a:extLst>
            <a:ext uri="{FF2B5EF4-FFF2-40B4-BE49-F238E27FC236}">
              <a16:creationId xmlns:a16="http://schemas.microsoft.com/office/drawing/2014/main" id="{F3B20690-4A52-6D9C-D04D-4597209EA822}"/>
            </a:ext>
          </a:extLst>
        </xdr:cNvPr>
        <xdr:cNvSpPr/>
      </xdr:nvSpPr>
      <xdr:spPr>
        <a:xfrm>
          <a:off x="2001520" y="82278"/>
          <a:ext cx="723900" cy="247346"/>
        </a:xfrm>
        <a:prstGeom prst="round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ABOUT</a:t>
          </a:r>
        </a:p>
      </xdr:txBody>
    </xdr:sp>
    <xdr:clientData/>
  </xdr:twoCellAnchor>
  <xdr:twoCellAnchor>
    <xdr:from>
      <xdr:col>3</xdr:col>
      <xdr:colOff>320040</xdr:colOff>
      <xdr:row>19</xdr:row>
      <xdr:rowOff>45720</xdr:rowOff>
    </xdr:from>
    <xdr:to>
      <xdr:col>4</xdr:col>
      <xdr:colOff>711708</xdr:colOff>
      <xdr:row>20</xdr:row>
      <xdr:rowOff>129540</xdr:rowOff>
    </xdr:to>
    <xdr:sp macro="[0]!Main_Algorithm" textlink="">
      <xdr:nvSpPr>
        <xdr:cNvPr id="6" name="btnKMeans">
          <a:extLst>
            <a:ext uri="{FF2B5EF4-FFF2-40B4-BE49-F238E27FC236}">
              <a16:creationId xmlns:a16="http://schemas.microsoft.com/office/drawing/2014/main" id="{C8D83796-066B-F71A-14E8-040846D5A71A}"/>
            </a:ext>
          </a:extLst>
        </xdr:cNvPr>
        <xdr:cNvSpPr/>
      </xdr:nvSpPr>
      <xdr:spPr>
        <a:xfrm>
          <a:off x="1935480" y="3596640"/>
          <a:ext cx="1115568" cy="26670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3. Apply</a:t>
          </a:r>
        </a:p>
      </xdr:txBody>
    </xdr:sp>
    <xdr:clientData/>
  </xdr:twoCellAnchor>
  <xdr:twoCellAnchor>
    <xdr:from>
      <xdr:col>19</xdr:col>
      <xdr:colOff>121920</xdr:colOff>
      <xdr:row>0</xdr:row>
      <xdr:rowOff>72601</xdr:rowOff>
    </xdr:from>
    <xdr:to>
      <xdr:col>20</xdr:col>
      <xdr:colOff>129540</xdr:colOff>
      <xdr:row>2</xdr:row>
      <xdr:rowOff>19261</xdr:rowOff>
    </xdr:to>
    <xdr:sp macro="[0]!Reset" textlink="">
      <xdr:nvSpPr>
        <xdr:cNvPr id="2" name="Rectangle: Rounded Corners 1">
          <a:extLst>
            <a:ext uri="{FF2B5EF4-FFF2-40B4-BE49-F238E27FC236}">
              <a16:creationId xmlns:a16="http://schemas.microsoft.com/office/drawing/2014/main" id="{4C1471A4-D441-28CC-D29B-2CB5EECC32A5}"/>
            </a:ext>
          </a:extLst>
        </xdr:cNvPr>
        <xdr:cNvSpPr/>
      </xdr:nvSpPr>
      <xdr:spPr>
        <a:xfrm>
          <a:off x="12893040" y="72601"/>
          <a:ext cx="739140" cy="26670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i="0"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RESET</a:t>
          </a:r>
        </a:p>
      </xdr:txBody>
    </xdr:sp>
    <xdr:clientData/>
  </xdr:twoCellAnchor>
  <xdr:oneCellAnchor>
    <xdr:from>
      <xdr:col>10</xdr:col>
      <xdr:colOff>22860</xdr:colOff>
      <xdr:row>13</xdr:row>
      <xdr:rowOff>160020</xdr:rowOff>
    </xdr:from>
    <xdr:ext cx="65" cy="172227"/>
    <xdr:sp macro="" textlink="">
      <xdr:nvSpPr>
        <xdr:cNvPr id="13" name="TextBox 12">
          <a:extLst>
            <a:ext uri="{FF2B5EF4-FFF2-40B4-BE49-F238E27FC236}">
              <a16:creationId xmlns:a16="http://schemas.microsoft.com/office/drawing/2014/main" id="{2D0D1CDA-9010-ED1A-A2E0-C67F703A08C1}"/>
            </a:ext>
          </a:extLst>
        </xdr:cNvPr>
        <xdr:cNvSpPr txBox="1"/>
      </xdr:nvSpPr>
      <xdr:spPr>
        <a:xfrm>
          <a:off x="6606540" y="22631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kern="1200"/>
        </a:p>
      </xdr:txBody>
    </xdr:sp>
    <xdr:clientData/>
  </xdr:oneCellAnchor>
  <xdr:twoCellAnchor>
    <xdr:from>
      <xdr:col>3</xdr:col>
      <xdr:colOff>323088</xdr:colOff>
      <xdr:row>29</xdr:row>
      <xdr:rowOff>45720</xdr:rowOff>
    </xdr:from>
    <xdr:to>
      <xdr:col>4</xdr:col>
      <xdr:colOff>711708</xdr:colOff>
      <xdr:row>30</xdr:row>
      <xdr:rowOff>129540</xdr:rowOff>
    </xdr:to>
    <xdr:sp macro="[0]!generateMainScatter" textlink="">
      <xdr:nvSpPr>
        <xdr:cNvPr id="15" name="btnUpdateChrt">
          <a:extLst>
            <a:ext uri="{FF2B5EF4-FFF2-40B4-BE49-F238E27FC236}">
              <a16:creationId xmlns:a16="http://schemas.microsoft.com/office/drawing/2014/main" id="{FB0E1351-8497-40A5-BF15-EEEA355BB38C}"/>
            </a:ext>
          </a:extLst>
        </xdr:cNvPr>
        <xdr:cNvSpPr/>
      </xdr:nvSpPr>
      <xdr:spPr>
        <a:xfrm>
          <a:off x="1938528" y="5410200"/>
          <a:ext cx="1112520" cy="26670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Update Figure</a:t>
          </a:r>
        </a:p>
      </xdr:txBody>
    </xdr:sp>
    <xdr:clientData/>
  </xdr:twoCellAnchor>
  <xdr:twoCellAnchor>
    <xdr:from>
      <xdr:col>5</xdr:col>
      <xdr:colOff>48260</xdr:colOff>
      <xdr:row>0</xdr:row>
      <xdr:rowOff>76422</xdr:rowOff>
    </xdr:from>
    <xdr:to>
      <xdr:col>6</xdr:col>
      <xdr:colOff>627380</xdr:colOff>
      <xdr:row>2</xdr:row>
      <xdr:rowOff>15441</xdr:rowOff>
    </xdr:to>
    <xdr:sp macro="" textlink="">
      <xdr:nvSpPr>
        <xdr:cNvPr id="16" name="btnResult">
          <a:hlinkClick xmlns:r="http://schemas.openxmlformats.org/officeDocument/2006/relationships" r:id="rId3"/>
          <a:extLst>
            <a:ext uri="{FF2B5EF4-FFF2-40B4-BE49-F238E27FC236}">
              <a16:creationId xmlns:a16="http://schemas.microsoft.com/office/drawing/2014/main" id="{504DBEAF-47B2-4895-A3D7-CFD16BBEE536}"/>
            </a:ext>
          </a:extLst>
        </xdr:cNvPr>
        <xdr:cNvSpPr/>
      </xdr:nvSpPr>
      <xdr:spPr>
        <a:xfrm>
          <a:off x="3111500" y="76422"/>
          <a:ext cx="746760" cy="259059"/>
        </a:xfrm>
        <a:prstGeom prst="round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RESULT</a:t>
          </a:r>
        </a:p>
      </xdr:txBody>
    </xdr:sp>
    <xdr:clientData/>
  </xdr:twoCellAnchor>
  <xdr:twoCellAnchor>
    <xdr:from>
      <xdr:col>6</xdr:col>
      <xdr:colOff>30480</xdr:colOff>
      <xdr:row>5</xdr:row>
      <xdr:rowOff>53340</xdr:rowOff>
    </xdr:from>
    <xdr:to>
      <xdr:col>19</xdr:col>
      <xdr:colOff>701040</xdr:colOff>
      <xdr:row>30</xdr:row>
      <xdr:rowOff>152400</xdr:rowOff>
    </xdr:to>
    <xdr:grpSp>
      <xdr:nvGrpSpPr>
        <xdr:cNvPr id="11" name="Plotting Area">
          <a:extLst>
            <a:ext uri="{FF2B5EF4-FFF2-40B4-BE49-F238E27FC236}">
              <a16:creationId xmlns:a16="http://schemas.microsoft.com/office/drawing/2014/main" id="{73D819A5-463D-CF97-6C3B-CFBB3E192025}"/>
            </a:ext>
          </a:extLst>
        </xdr:cNvPr>
        <xdr:cNvGrpSpPr/>
      </xdr:nvGrpSpPr>
      <xdr:grpSpPr>
        <a:xfrm>
          <a:off x="3261360" y="982980"/>
          <a:ext cx="10210800" cy="4823460"/>
          <a:chOff x="3261360" y="876300"/>
          <a:chExt cx="10210800" cy="4823460"/>
        </a:xfrm>
      </xdr:grpSpPr>
      <xdr:sp macro="" textlink="">
        <xdr:nvSpPr>
          <xdr:cNvPr id="10" name="Rectangle 9">
            <a:extLst>
              <a:ext uri="{FF2B5EF4-FFF2-40B4-BE49-F238E27FC236}">
                <a16:creationId xmlns:a16="http://schemas.microsoft.com/office/drawing/2014/main" id="{89941A1B-B0A0-1D63-6D3B-EBB5B9475B1E}"/>
              </a:ext>
            </a:extLst>
          </xdr:cNvPr>
          <xdr:cNvSpPr/>
        </xdr:nvSpPr>
        <xdr:spPr>
          <a:xfrm>
            <a:off x="3261360" y="876300"/>
            <a:ext cx="10210800" cy="4823460"/>
          </a:xfrm>
          <a:prstGeom prst="rect">
            <a:avLst/>
          </a:prstGeom>
          <a:solidFill>
            <a:srgbClr val="666C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3" name="ScatterChart">
            <a:extLst>
              <a:ext uri="{FF2B5EF4-FFF2-40B4-BE49-F238E27FC236}">
                <a16:creationId xmlns:a16="http://schemas.microsoft.com/office/drawing/2014/main" id="{9FEA1965-F453-4064-B16A-1693C0530D12}"/>
              </a:ext>
            </a:extLst>
          </xdr:cNvPr>
          <xdr:cNvGraphicFramePr>
            <a:graphicFrameLocks/>
          </xdr:cNvGraphicFramePr>
        </xdr:nvGraphicFramePr>
        <xdr:xfrm>
          <a:off x="3322588" y="932402"/>
          <a:ext cx="10088344" cy="471125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mc:AlternateContent xmlns:mc="http://schemas.openxmlformats.org/markup-compatibility/2006">
    <mc:Choice xmlns:a14="http://schemas.microsoft.com/office/drawing/2010/main" Requires="a14">
      <xdr:twoCellAnchor>
        <xdr:from>
          <xdr:col>1</xdr:col>
          <xdr:colOff>541020</xdr:colOff>
          <xdr:row>10</xdr:row>
          <xdr:rowOff>15240</xdr:rowOff>
        </xdr:from>
        <xdr:to>
          <xdr:col>1</xdr:col>
          <xdr:colOff>716280</xdr:colOff>
          <xdr:row>10</xdr:row>
          <xdr:rowOff>182880</xdr:rowOff>
        </xdr:to>
        <xdr:sp macro="" textlink="">
          <xdr:nvSpPr>
            <xdr:cNvPr id="1031" name="Spinner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541020</xdr:colOff>
          <xdr:row>10</xdr:row>
          <xdr:rowOff>15240</xdr:rowOff>
        </xdr:from>
        <xdr:to>
          <xdr:col>3</xdr:col>
          <xdr:colOff>716280</xdr:colOff>
          <xdr:row>10</xdr:row>
          <xdr:rowOff>182880</xdr:rowOff>
        </xdr:to>
        <xdr:sp macro="" textlink="">
          <xdr:nvSpPr>
            <xdr:cNvPr id="1030" name="Spinner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541020</xdr:colOff>
          <xdr:row>17</xdr:row>
          <xdr:rowOff>15240</xdr:rowOff>
        </xdr:from>
        <xdr:to>
          <xdr:col>3</xdr:col>
          <xdr:colOff>716280</xdr:colOff>
          <xdr:row>17</xdr:row>
          <xdr:rowOff>182880</xdr:rowOff>
        </xdr:to>
        <xdr:sp macro="" textlink="">
          <xdr:nvSpPr>
            <xdr:cNvPr id="1032" name="Spinner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541020</xdr:colOff>
          <xdr:row>18</xdr:row>
          <xdr:rowOff>15240</xdr:rowOff>
        </xdr:from>
        <xdr:to>
          <xdr:col>3</xdr:col>
          <xdr:colOff>716280</xdr:colOff>
          <xdr:row>18</xdr:row>
          <xdr:rowOff>182880</xdr:rowOff>
        </xdr:to>
        <xdr:sp macro="" textlink="">
          <xdr:nvSpPr>
            <xdr:cNvPr id="1033" name="Spinner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15240</xdr:colOff>
          <xdr:row>17</xdr:row>
          <xdr:rowOff>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7</xdr:row>
          <xdr:rowOff>15240</xdr:rowOff>
        </xdr:from>
        <xdr:to>
          <xdr:col>3</xdr:col>
          <xdr:colOff>708660</xdr:colOff>
          <xdr:row>7</xdr:row>
          <xdr:rowOff>182880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5</xdr:col>
          <xdr:colOff>15240</xdr:colOff>
          <xdr:row>25</xdr:row>
          <xdr:rowOff>0</xdr:rowOff>
        </xdr:to>
        <xdr:sp macro="" textlink="">
          <xdr:nvSpPr>
            <xdr:cNvPr id="1049" name="Drop Down 25" hidden="1">
              <a:extLst>
                <a:ext uri="{63B3BB69-23CF-44E3-9099-C40C66FF867C}">
                  <a14:compatExt spid="_x0000_s1049"/>
                </a:ext>
                <a:ext uri="{FF2B5EF4-FFF2-40B4-BE49-F238E27FC236}">
                  <a16:creationId xmlns:a16="http://schemas.microsoft.com/office/drawing/2014/main" id="{00000000-0008-0000-02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5</xdr:col>
          <xdr:colOff>15240</xdr:colOff>
          <xdr:row>26</xdr:row>
          <xdr:rowOff>0</xdr:rowOff>
        </xdr:to>
        <xdr:sp macro="" textlink="">
          <xdr:nvSpPr>
            <xdr:cNvPr id="1052" name="Drop Dow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5</xdr:col>
          <xdr:colOff>15240</xdr:colOff>
          <xdr:row>29</xdr:row>
          <xdr:rowOff>0</xdr:rowOff>
        </xdr:to>
        <xdr:sp macro="" textlink="">
          <xdr:nvSpPr>
            <xdr:cNvPr id="1053" name="Drop Down 29" hidden="1">
              <a:extLst>
                <a:ext uri="{63B3BB69-23CF-44E3-9099-C40C66FF867C}">
                  <a14:compatExt spid="_x0000_s1053"/>
                </a:ext>
                <a:ext uri="{FF2B5EF4-FFF2-40B4-BE49-F238E27FC236}">
                  <a16:creationId xmlns:a16="http://schemas.microsoft.com/office/drawing/2014/main" id="{00000000-0008-0000-02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22860</xdr:colOff>
      <xdr:row>3</xdr:row>
      <xdr:rowOff>25908</xdr:rowOff>
    </xdr:from>
    <xdr:to>
      <xdr:col>2</xdr:col>
      <xdr:colOff>571500</xdr:colOff>
      <xdr:row>3</xdr:row>
      <xdr:rowOff>263652</xdr:rowOff>
    </xdr:to>
    <xdr:sp macro="[0]!ImportData" textlink="">
      <xdr:nvSpPr>
        <xdr:cNvPr id="8" name="btnImport">
          <a:extLst>
            <a:ext uri="{FF2B5EF4-FFF2-40B4-BE49-F238E27FC236}">
              <a16:creationId xmlns:a16="http://schemas.microsoft.com/office/drawing/2014/main" id="{E5302F1B-86A7-41CE-847F-16A7AC935E50}"/>
            </a:ext>
          </a:extLst>
        </xdr:cNvPr>
        <xdr:cNvSpPr/>
      </xdr:nvSpPr>
      <xdr:spPr>
        <a:xfrm>
          <a:off x="175260" y="467868"/>
          <a:ext cx="128016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1. Import Data</a:t>
          </a:r>
        </a:p>
      </xdr:txBody>
    </xdr:sp>
    <xdr:clientData/>
  </xdr:twoCellAnchor>
  <xdr:twoCellAnchor>
    <xdr:from>
      <xdr:col>3</xdr:col>
      <xdr:colOff>179070</xdr:colOff>
      <xdr:row>3</xdr:row>
      <xdr:rowOff>25908</xdr:rowOff>
    </xdr:from>
    <xdr:to>
      <xdr:col>4</xdr:col>
      <xdr:colOff>720090</xdr:colOff>
      <xdr:row>3</xdr:row>
      <xdr:rowOff>263652</xdr:rowOff>
    </xdr:to>
    <xdr:sp macro="[0]!CleanData" textlink="">
      <xdr:nvSpPr>
        <xdr:cNvPr id="9" name="btnClean">
          <a:extLst>
            <a:ext uri="{FF2B5EF4-FFF2-40B4-BE49-F238E27FC236}">
              <a16:creationId xmlns:a16="http://schemas.microsoft.com/office/drawing/2014/main" id="{A1842012-7432-4600-BE38-03E30B8C65E2}"/>
            </a:ext>
          </a:extLst>
        </xdr:cNvPr>
        <xdr:cNvSpPr/>
      </xdr:nvSpPr>
      <xdr:spPr>
        <a:xfrm>
          <a:off x="1794510" y="467868"/>
          <a:ext cx="126492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2. Clean Data</a:t>
          </a:r>
        </a:p>
      </xdr:txBody>
    </xdr:sp>
    <xdr:clientData/>
  </xdr:twoCellAnchor>
  <xdr:twoCellAnchor>
    <xdr:from>
      <xdr:col>7</xdr:col>
      <xdr:colOff>281940</xdr:colOff>
      <xdr:row>0</xdr:row>
      <xdr:rowOff>76422</xdr:rowOff>
    </xdr:from>
    <xdr:to>
      <xdr:col>9</xdr:col>
      <xdr:colOff>7620</xdr:colOff>
      <xdr:row>2</xdr:row>
      <xdr:rowOff>15441</xdr:rowOff>
    </xdr:to>
    <xdr:sp macro="" textlink="">
      <xdr:nvSpPr>
        <xdr:cNvPr id="7" name="btnResult">
          <a:hlinkClick xmlns:r="http://schemas.openxmlformats.org/officeDocument/2006/relationships" r:id="rId5"/>
          <a:extLst>
            <a:ext uri="{FF2B5EF4-FFF2-40B4-BE49-F238E27FC236}">
              <a16:creationId xmlns:a16="http://schemas.microsoft.com/office/drawing/2014/main" id="{3A24081A-9805-49C5-9E42-7E1CDDE3DF1C}"/>
            </a:ext>
          </a:extLst>
        </xdr:cNvPr>
        <xdr:cNvSpPr/>
      </xdr:nvSpPr>
      <xdr:spPr>
        <a:xfrm>
          <a:off x="4244340" y="76422"/>
          <a:ext cx="1188720" cy="259059"/>
        </a:xfrm>
        <a:prstGeom prst="roundRect">
          <a:avLst/>
        </a:prstGeom>
        <a:solidFill>
          <a:srgbClr val="FD9D54">
            <a:alpha val="0"/>
          </a:srgb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rPr>
            <a:t>ITERATION</a:t>
          </a:r>
          <a:r>
            <a:rPr lang="en-US" sz="1200" b="1" u="sng" kern="1200" baseline="0">
              <a:solidFill>
                <a:srgbClr val="F5E7DC"/>
              </a:solidFill>
              <a:latin typeface="Calibri" panose="020F0502020204030204" pitchFamily="34" charset="0"/>
              <a:ea typeface="Calibri" panose="020F0502020204030204" pitchFamily="34" charset="0"/>
              <a:cs typeface="Calibri" panose="020F0502020204030204" pitchFamily="34" charset="0"/>
            </a:rPr>
            <a:t> LOG</a:t>
          </a:r>
          <a:endParaRPr lang="en-US" sz="1200" b="1" u="sng" kern="1200">
            <a:solidFill>
              <a:srgbClr val="F5E7DC"/>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308610</xdr:colOff>
      <xdr:row>3</xdr:row>
      <xdr:rowOff>25908</xdr:rowOff>
    </xdr:from>
    <xdr:to>
      <xdr:col>10</xdr:col>
      <xdr:colOff>110490</xdr:colOff>
      <xdr:row>3</xdr:row>
      <xdr:rowOff>263652</xdr:rowOff>
    </xdr:to>
    <xdr:sp macro="[0]!EditData" textlink="">
      <xdr:nvSpPr>
        <xdr:cNvPr id="12" name="btnEditData">
          <a:extLst>
            <a:ext uri="{FF2B5EF4-FFF2-40B4-BE49-F238E27FC236}">
              <a16:creationId xmlns:a16="http://schemas.microsoft.com/office/drawing/2014/main" id="{E0287239-25BB-41F7-BE62-B093338EBDFC}"/>
            </a:ext>
          </a:extLst>
        </xdr:cNvPr>
        <xdr:cNvSpPr/>
      </xdr:nvSpPr>
      <xdr:spPr>
        <a:xfrm>
          <a:off x="5002530" y="467868"/>
          <a:ext cx="126492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Edit Data</a:t>
          </a:r>
        </a:p>
      </xdr:txBody>
    </xdr:sp>
    <xdr:clientData/>
  </xdr:twoCellAnchor>
  <xdr:twoCellAnchor>
    <xdr:from>
      <xdr:col>6</xdr:col>
      <xdr:colOff>167640</xdr:colOff>
      <xdr:row>3</xdr:row>
      <xdr:rowOff>25908</xdr:rowOff>
    </xdr:from>
    <xdr:to>
      <xdr:col>7</xdr:col>
      <xdr:colOff>701040</xdr:colOff>
      <xdr:row>3</xdr:row>
      <xdr:rowOff>263652</xdr:rowOff>
    </xdr:to>
    <xdr:sp macro="" textlink="">
      <xdr:nvSpPr>
        <xdr:cNvPr id="14" name="btnView">
          <a:hlinkClick xmlns:r="http://schemas.openxmlformats.org/officeDocument/2006/relationships" r:id="rId6"/>
          <a:extLst>
            <a:ext uri="{FF2B5EF4-FFF2-40B4-BE49-F238E27FC236}">
              <a16:creationId xmlns:a16="http://schemas.microsoft.com/office/drawing/2014/main" id="{F926E220-3F0D-46FA-ADF8-8E3916530B17}"/>
            </a:ext>
          </a:extLst>
        </xdr:cNvPr>
        <xdr:cNvSpPr/>
      </xdr:nvSpPr>
      <xdr:spPr>
        <a:xfrm>
          <a:off x="3398520" y="467868"/>
          <a:ext cx="1264920" cy="237744"/>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View Data</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182880</xdr:rowOff>
    </xdr:to>
    <xdr:pic>
      <xdr:nvPicPr>
        <xdr:cNvPr id="4" name="HomeIcon" descr="Home with solid fill">
          <a:hlinkClick xmlns:r="http://schemas.openxmlformats.org/officeDocument/2006/relationships" r:id="rId1"/>
          <a:extLst>
            <a:ext uri="{FF2B5EF4-FFF2-40B4-BE49-F238E27FC236}">
              <a16:creationId xmlns:a16="http://schemas.microsoft.com/office/drawing/2014/main" id="{70B10838-7F93-4751-A90D-FDC45D041AB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8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182880</xdr:rowOff>
    </xdr:to>
    <xdr:pic>
      <xdr:nvPicPr>
        <xdr:cNvPr id="3" name="HomeIcon" descr="Home with solid fill">
          <a:hlinkClick xmlns:r="http://schemas.openxmlformats.org/officeDocument/2006/relationships" r:id="rId1"/>
          <a:extLst>
            <a:ext uri="{FF2B5EF4-FFF2-40B4-BE49-F238E27FC236}">
              <a16:creationId xmlns:a16="http://schemas.microsoft.com/office/drawing/2014/main" id="{BA3FD1E0-5FE3-4BE3-ACF6-013278B13F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880"/>
        </a:xfrm>
        <a:prstGeom prst="rect">
          <a:avLst/>
        </a:prstGeom>
        <a:effectLst>
          <a:glow rad="139700">
            <a:srgbClr val="F5E7DC">
              <a:alpha val="40000"/>
            </a:srgbClr>
          </a:glow>
        </a:effec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182880</xdr:rowOff>
    </xdr:to>
    <xdr:pic>
      <xdr:nvPicPr>
        <xdr:cNvPr id="5" name="HomeIcon" descr="Home with solid fill">
          <a:hlinkClick xmlns:r="http://schemas.openxmlformats.org/officeDocument/2006/relationships" r:id="rId1"/>
          <a:extLst>
            <a:ext uri="{FF2B5EF4-FFF2-40B4-BE49-F238E27FC236}">
              <a16:creationId xmlns:a16="http://schemas.microsoft.com/office/drawing/2014/main" id="{7C5ECBCD-8A3A-4902-BFE0-970E6028F58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880"/>
        </a:xfrm>
        <a:prstGeom prst="rect">
          <a:avLst/>
        </a:prstGeom>
        <a:effectLst>
          <a:glow rad="139700">
            <a:srgbClr val="F5E7DC">
              <a:alpha val="40000"/>
            </a:srgbClr>
          </a:glo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182336</xdr:rowOff>
    </xdr:to>
    <xdr:pic>
      <xdr:nvPicPr>
        <xdr:cNvPr id="3" name="HomeIcon" descr="Home with solid fill">
          <a:hlinkClick xmlns:r="http://schemas.openxmlformats.org/officeDocument/2006/relationships" r:id="rId1"/>
          <a:extLst>
            <a:ext uri="{FF2B5EF4-FFF2-40B4-BE49-F238E27FC236}">
              <a16:creationId xmlns:a16="http://schemas.microsoft.com/office/drawing/2014/main" id="{C223B24D-74A2-4649-9FE7-308ED6FFF5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336"/>
        </a:xfrm>
        <a:prstGeom prst="rect">
          <a:avLst/>
        </a:prstGeom>
        <a:effectLst>
          <a:glow rad="139700">
            <a:srgbClr val="F5E7DC">
              <a:alpha val="40000"/>
            </a:srgbClr>
          </a:glow>
        </a:effectLst>
      </xdr:spPr>
    </xdr:pic>
    <xdr:clientData/>
  </xdr:twoCellAnchor>
  <xdr:twoCellAnchor editAs="absolute">
    <xdr:from>
      <xdr:col>0</xdr:col>
      <xdr:colOff>0</xdr:colOff>
      <xdr:row>0</xdr:row>
      <xdr:rowOff>0</xdr:rowOff>
    </xdr:from>
    <xdr:to>
      <xdr:col>18</xdr:col>
      <xdr:colOff>243840</xdr:colOff>
      <xdr:row>1</xdr:row>
      <xdr:rowOff>733</xdr:rowOff>
    </xdr:to>
    <xdr:sp macro="" textlink="">
      <xdr:nvSpPr>
        <xdr:cNvPr id="2" name="Rectangle 1">
          <a:extLst>
            <a:ext uri="{FF2B5EF4-FFF2-40B4-BE49-F238E27FC236}">
              <a16:creationId xmlns:a16="http://schemas.microsoft.com/office/drawing/2014/main" id="{D7659C19-C86F-4D96-A509-3B03E09E19AD}"/>
            </a:ext>
          </a:extLst>
        </xdr:cNvPr>
        <xdr:cNvSpPr>
          <a:spLocks noChangeAspect="1"/>
        </xdr:cNvSpPr>
      </xdr:nvSpPr>
      <xdr:spPr>
        <a:xfrm>
          <a:off x="0" y="0"/>
          <a:ext cx="14043660" cy="336013"/>
        </a:xfrm>
        <a:prstGeom prst="rect">
          <a:avLst/>
        </a:prstGeom>
        <a:noFill/>
      </xdr:spPr>
      <xdr:txBody>
        <a:bodyPr wrap="none" lIns="91440" tIns="45720" rIns="91440" bIns="45720" anchor="ctr">
          <a:noAutofit/>
        </a:bodyPr>
        <a:lstStyle/>
        <a:p>
          <a:pPr algn="ctr"/>
          <a:r>
            <a:rPr lang="en-US" sz="2400" b="1" cap="none" spc="0">
              <a:ln w="9525">
                <a:solidFill>
                  <a:srgbClr val="666C85"/>
                </a:solidFill>
                <a:prstDash val="solid"/>
              </a:ln>
              <a:pattFill prst="dkUpDiag">
                <a:fgClr>
                  <a:srgbClr val="FFE3B2"/>
                </a:fgClr>
                <a:bgClr>
                  <a:srgbClr val="FD9D54"/>
                </a:bgClr>
              </a:pattFill>
              <a:effectLst>
                <a:outerShdw dist="38100" dir="2640000" algn="bl" rotWithShape="0">
                  <a:schemeClr val="tx2">
                    <a:lumMod val="75000"/>
                  </a:schemeClr>
                </a:outerShdw>
              </a:effectLst>
              <a:latin typeface="Arial Black" panose="020B0A04020102020204" pitchFamily="34" charset="0"/>
            </a:rPr>
            <a:t>Iteration Log Dashboard</a:t>
          </a:r>
        </a:p>
      </xdr:txBody>
    </xdr:sp>
    <xdr:clientData/>
  </xdr:twoCellAnchor>
  <xdr:twoCellAnchor>
    <xdr:from>
      <xdr:col>11</xdr:col>
      <xdr:colOff>537210</xdr:colOff>
      <xdr:row>2</xdr:row>
      <xdr:rowOff>115443</xdr:rowOff>
    </xdr:from>
    <xdr:to>
      <xdr:col>13</xdr:col>
      <xdr:colOff>384810</xdr:colOff>
      <xdr:row>4</xdr:row>
      <xdr:rowOff>158115</xdr:rowOff>
    </xdr:to>
    <xdr:sp macro="" textlink="">
      <xdr:nvSpPr>
        <xdr:cNvPr id="4" name="btnClean">
          <a:hlinkClick xmlns:r="http://schemas.openxmlformats.org/officeDocument/2006/relationships" r:id="rId4"/>
          <a:extLst>
            <a:ext uri="{FF2B5EF4-FFF2-40B4-BE49-F238E27FC236}">
              <a16:creationId xmlns:a16="http://schemas.microsoft.com/office/drawing/2014/main" id="{1C8B116A-39AE-2A93-F05A-7ABA26D9F856}"/>
            </a:ext>
          </a:extLst>
        </xdr:cNvPr>
        <xdr:cNvSpPr/>
      </xdr:nvSpPr>
      <xdr:spPr>
        <a:xfrm>
          <a:off x="9003030" y="633603"/>
          <a:ext cx="1371600" cy="545592"/>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3. View</a:t>
          </a:r>
          <a:r>
            <a:rPr lang="en-US" sz="120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Distance &amp; Assignment</a:t>
          </a:r>
          <a:endPar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758190</xdr:colOff>
      <xdr:row>2</xdr:row>
      <xdr:rowOff>115443</xdr:rowOff>
    </xdr:from>
    <xdr:to>
      <xdr:col>15</xdr:col>
      <xdr:colOff>605790</xdr:colOff>
      <xdr:row>4</xdr:row>
      <xdr:rowOff>158115</xdr:rowOff>
    </xdr:to>
    <xdr:sp macro="[0]!Log_VisualIteration" textlink="">
      <xdr:nvSpPr>
        <xdr:cNvPr id="6" name="btnClean">
          <a:extLst>
            <a:ext uri="{FF2B5EF4-FFF2-40B4-BE49-F238E27FC236}">
              <a16:creationId xmlns:a16="http://schemas.microsoft.com/office/drawing/2014/main" id="{96F6D911-8E09-439B-BFF1-216D2E07D267}"/>
            </a:ext>
          </a:extLst>
        </xdr:cNvPr>
        <xdr:cNvSpPr/>
      </xdr:nvSpPr>
      <xdr:spPr>
        <a:xfrm>
          <a:off x="10748010" y="633603"/>
          <a:ext cx="1371600" cy="545592"/>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Visualize</a:t>
          </a:r>
        </a:p>
        <a:p>
          <a:pPr algn="ctr"/>
          <a:r>
            <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Scatter Plot</a:t>
          </a:r>
        </a:p>
      </xdr:txBody>
    </xdr:sp>
    <xdr:clientData/>
  </xdr:twoCellAnchor>
  <xdr:twoCellAnchor>
    <xdr:from>
      <xdr:col>9</xdr:col>
      <xdr:colOff>316230</xdr:colOff>
      <xdr:row>2</xdr:row>
      <xdr:rowOff>115443</xdr:rowOff>
    </xdr:from>
    <xdr:to>
      <xdr:col>11</xdr:col>
      <xdr:colOff>163830</xdr:colOff>
      <xdr:row>4</xdr:row>
      <xdr:rowOff>158115</xdr:rowOff>
    </xdr:to>
    <xdr:sp macro="[0]!Log_Distance" textlink="">
      <xdr:nvSpPr>
        <xdr:cNvPr id="5" name="btnClean">
          <a:extLst>
            <a:ext uri="{FF2B5EF4-FFF2-40B4-BE49-F238E27FC236}">
              <a16:creationId xmlns:a16="http://schemas.microsoft.com/office/drawing/2014/main" id="{2E33B633-15A9-4DA1-B4A9-D468BAEA0D88}"/>
            </a:ext>
          </a:extLst>
        </xdr:cNvPr>
        <xdr:cNvSpPr/>
      </xdr:nvSpPr>
      <xdr:spPr>
        <a:xfrm>
          <a:off x="7258050" y="633603"/>
          <a:ext cx="1371600" cy="545592"/>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2. Assign</a:t>
          </a:r>
          <a:r>
            <a:rPr lang="en-US" sz="112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Membership</a:t>
          </a:r>
          <a:endParaRPr lang="en-US" sz="112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156210</xdr:colOff>
      <xdr:row>2</xdr:row>
      <xdr:rowOff>113919</xdr:rowOff>
    </xdr:from>
    <xdr:to>
      <xdr:col>8</xdr:col>
      <xdr:colOff>704850</xdr:colOff>
      <xdr:row>4</xdr:row>
      <xdr:rowOff>159639</xdr:rowOff>
    </xdr:to>
    <xdr:sp macro="[0]!Log_Centroid" textlink="">
      <xdr:nvSpPr>
        <xdr:cNvPr id="7" name="btnClean">
          <a:extLst>
            <a:ext uri="{FF2B5EF4-FFF2-40B4-BE49-F238E27FC236}">
              <a16:creationId xmlns:a16="http://schemas.microsoft.com/office/drawing/2014/main" id="{1DED1425-894E-4E62-B736-7A5C21EBA3E7}"/>
            </a:ext>
          </a:extLst>
        </xdr:cNvPr>
        <xdr:cNvSpPr/>
      </xdr:nvSpPr>
      <xdr:spPr>
        <a:xfrm>
          <a:off x="5513070" y="632079"/>
          <a:ext cx="1371600" cy="548640"/>
        </a:xfrm>
        <a:prstGeom prst="roundRect">
          <a:avLst/>
        </a:prstGeom>
        <a:solidFill>
          <a:srgbClr val="FD9D54"/>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1. Compute Centroid</a:t>
          </a:r>
          <a:endParaRPr lang="en-US" sz="12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571500</xdr:colOff>
      <xdr:row>2</xdr:row>
      <xdr:rowOff>125349</xdr:rowOff>
    </xdr:from>
    <xdr:to>
      <xdr:col>13</xdr:col>
      <xdr:colOff>571500</xdr:colOff>
      <xdr:row>4</xdr:row>
      <xdr:rowOff>168021</xdr:rowOff>
    </xdr:to>
    <xdr:cxnSp macro="">
      <xdr:nvCxnSpPr>
        <xdr:cNvPr id="16" name="Straight Connector 15">
          <a:extLst>
            <a:ext uri="{FF2B5EF4-FFF2-40B4-BE49-F238E27FC236}">
              <a16:creationId xmlns:a16="http://schemas.microsoft.com/office/drawing/2014/main" id="{4ED47AE1-F3F4-B64C-9C3A-D069B1C6DA75}"/>
            </a:ext>
          </a:extLst>
        </xdr:cNvPr>
        <xdr:cNvCxnSpPr/>
      </xdr:nvCxnSpPr>
      <xdr:spPr>
        <a:xfrm>
          <a:off x="10561320" y="643509"/>
          <a:ext cx="0" cy="545592"/>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272</xdr:colOff>
      <xdr:row>0</xdr:row>
      <xdr:rowOff>0</xdr:rowOff>
    </xdr:from>
    <xdr:to>
      <xdr:col>0</xdr:col>
      <xdr:colOff>182608</xdr:colOff>
      <xdr:row>0</xdr:row>
      <xdr:rowOff>182336</xdr:rowOff>
    </xdr:to>
    <xdr:pic>
      <xdr:nvPicPr>
        <xdr:cNvPr id="3" name="GoBackIcon" descr="Back with solid fill">
          <a:hlinkClick xmlns:r="http://schemas.openxmlformats.org/officeDocument/2006/relationships" r:id="rId1"/>
          <a:extLst>
            <a:ext uri="{FF2B5EF4-FFF2-40B4-BE49-F238E27FC236}">
              <a16:creationId xmlns:a16="http://schemas.microsoft.com/office/drawing/2014/main" id="{C86F0DBD-40DA-40EC-8045-B4484F8D1F8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72" y="0"/>
          <a:ext cx="182336" cy="182336"/>
        </a:xfrm>
        <a:prstGeom prst="rect">
          <a:avLst/>
        </a:prstGeom>
        <a:effectLst>
          <a:glow rad="139700">
            <a:srgbClr val="F5E7DC">
              <a:alpha val="40000"/>
            </a:srgbClr>
          </a:glow>
        </a:effectLst>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182336</xdr:rowOff>
    </xdr:to>
    <xdr:pic>
      <xdr:nvPicPr>
        <xdr:cNvPr id="3" name="HomeIcon" descr="Home with solid fill">
          <a:hlinkClick xmlns:r="http://schemas.openxmlformats.org/officeDocument/2006/relationships" r:id="rId1"/>
          <a:extLst>
            <a:ext uri="{FF2B5EF4-FFF2-40B4-BE49-F238E27FC236}">
              <a16:creationId xmlns:a16="http://schemas.microsoft.com/office/drawing/2014/main" id="{9C5D82AD-1DFD-419C-B8E1-7CE2830EC0F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336"/>
        </a:xfrm>
        <a:prstGeom prst="rect">
          <a:avLst/>
        </a:prstGeom>
        <a:effectLst>
          <a:glow rad="139700">
            <a:srgbClr val="F5E7DC">
              <a:alpha val="40000"/>
            </a:srgbClr>
          </a:glow>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182880</xdr:colOff>
      <xdr:row>0</xdr:row>
      <xdr:rowOff>182336</xdr:rowOff>
    </xdr:to>
    <xdr:pic>
      <xdr:nvPicPr>
        <xdr:cNvPr id="4" name="HomeIcon" descr="Home with solid fill">
          <a:hlinkClick xmlns:r="http://schemas.openxmlformats.org/officeDocument/2006/relationships" r:id="rId1"/>
          <a:extLst>
            <a:ext uri="{FF2B5EF4-FFF2-40B4-BE49-F238E27FC236}">
              <a16:creationId xmlns:a16="http://schemas.microsoft.com/office/drawing/2014/main" id="{D4944508-F694-4025-9184-8AF07D52965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182880" cy="182336"/>
        </a:xfrm>
        <a:prstGeom prst="rect">
          <a:avLst/>
        </a:prstGeom>
        <a:effectLst>
          <a:glow rad="139700">
            <a:srgbClr val="F5E7DC">
              <a:alpha val="40000"/>
            </a:srgbClr>
          </a:glow>
        </a:effectLst>
      </xdr:spPr>
    </xdr:pic>
    <xdr:clientData/>
  </xdr:twoCellAnchor>
  <xdr:twoCellAnchor>
    <xdr:from>
      <xdr:col>1</xdr:col>
      <xdr:colOff>508000</xdr:colOff>
      <xdr:row>2</xdr:row>
      <xdr:rowOff>116840</xdr:rowOff>
    </xdr:from>
    <xdr:to>
      <xdr:col>7</xdr:col>
      <xdr:colOff>698500</xdr:colOff>
      <xdr:row>18</xdr:row>
      <xdr:rowOff>48260</xdr:rowOff>
    </xdr:to>
    <xdr:graphicFrame macro="">
      <xdr:nvGraphicFramePr>
        <xdr:cNvPr id="2" name="SilBarChart">
          <a:extLst>
            <a:ext uri="{FF2B5EF4-FFF2-40B4-BE49-F238E27FC236}">
              <a16:creationId xmlns:a16="http://schemas.microsoft.com/office/drawing/2014/main" id="{C03E2612-EB43-67CA-F7C5-D9FE7C39C4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190500</xdr:colOff>
      <xdr:row>3</xdr:row>
      <xdr:rowOff>124460</xdr:rowOff>
    </xdr:from>
    <xdr:to>
      <xdr:col>16</xdr:col>
      <xdr:colOff>571500</xdr:colOff>
      <xdr:row>26</xdr:row>
      <xdr:rowOff>109220</xdr:rowOff>
    </xdr:to>
    <xdr:graphicFrame macro="">
      <xdr:nvGraphicFramePr>
        <xdr:cNvPr id="3" name="IterScatter">
          <a:extLst>
            <a:ext uri="{FF2B5EF4-FFF2-40B4-BE49-F238E27FC236}">
              <a16:creationId xmlns:a16="http://schemas.microsoft.com/office/drawing/2014/main" id="{9C8AE14E-6CDB-C410-8C9A-F32830E646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0</v>
    <v>5</v>
    <v>Harvey Balls 100% with solid fill</v>
  </rv>
  <rv s="0">
    <v>1</v>
    <v>5</v>
    <v>Harvey Balls 100% with solid fill</v>
  </rv>
  <rv s="0">
    <v>2</v>
    <v>5</v>
    <v>Harvey Balls 100% with solid fill</v>
  </rv>
  <rv s="0">
    <v>3</v>
    <v>5</v>
    <v>Harvey Balls 100% with solid fill</v>
  </rv>
  <rv s="0">
    <v>0</v>
    <v>4</v>
    <v>Harvey Balls 100% with solid fill</v>
  </rv>
  <rv s="0">
    <v>4</v>
    <v>5</v>
    <v>Badge 1 with solid fill</v>
  </rv>
  <rv s="0">
    <v>5</v>
    <v>5</v>
    <v>Badge with solid fill</v>
  </rv>
  <rv s="0">
    <v>6</v>
    <v>5</v>
    <v>Badge 3 with solid fill</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A6F7F0-9F3B-42CF-99EB-9C5E1E04189B}" name="data_desc" displayName="data_desc" ref="A12:G13" insertRow="1" headerRowDxfId="19" dataDxfId="17" totalsRowDxfId="16" headerRowBorderDxfId="18">
  <autoFilter ref="A12:G13" xr:uid="{F4A6F7F0-9F3B-42CF-99EB-9C5E1E04189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0C18C89-0976-4182-8A84-972CC4EDBA1B}" name="Attributes" totalsRowLabel="Total" dataDxfId="15" totalsRowDxfId="14"/>
    <tableColumn id="2" xr3:uid="{7E238827-22C2-4024-90D5-E3BF4D603E56}" name="Observations" dataDxfId="13" totalsRowDxfId="12"/>
    <tableColumn id="3" xr3:uid="{21E8A899-A254-4A36-B7BF-FED6B49457F1}" name="Type" dataDxfId="11" totalsRowDxfId="10"/>
    <tableColumn id="4" xr3:uid="{C35E85F5-FCC0-4FE8-91D0-BEFAAD780067}" name="Mean" dataDxfId="9" totalsRowDxfId="8"/>
    <tableColumn id="5" xr3:uid="{AA370B5D-1594-4031-BDFA-B7C7EE18FBA7}" name="Std. Deviation" totalsRowFunction="count" dataDxfId="7" totalsRowDxfId="6"/>
    <tableColumn id="6" xr3:uid="{6C7D231B-9399-4E52-B0DD-39BA4889EB3A}" name="Min" dataDxfId="5" totalsRowDxfId="4"/>
    <tableColumn id="7" xr3:uid="{06E7C08B-33F9-4B11-8B6E-698F666CBC43}" name="Max" dataDxfId="3" totalsRowDxfId="2"/>
  </tableColumns>
  <tableStyleInfo name="k-means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D03092C-5CF2-496B-BCBC-2C886D6052D6}" name="tblResult" displayName="tblResult" ref="A1:A2" insertRow="1" totalsRowShown="0" headerRowDxfId="0">
  <autoFilter ref="A1:A2" xr:uid="{FD03092C-5CF2-496B-BCBC-2C886D6052D6}"/>
  <tableColumns count="1">
    <tableColumn id="21" xr3:uid="{C7576C80-6B69-4BC8-ADCB-340999E6F3C6}" name="tblResult"/>
  </tableColumns>
  <tableStyleInfo name="k-means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8BB06-85AC-41FF-B865-94F82AA8104B}">
  <sheetPr codeName="Sheet1"/>
  <dimension ref="A1:J13"/>
  <sheetViews>
    <sheetView workbookViewId="0">
      <pane ySplit="12" topLeftCell="A13" activePane="bottomLeft" state="frozen"/>
      <selection pane="bottomLeft" activeCell="J13" sqref="J13"/>
    </sheetView>
  </sheetViews>
  <sheetFormatPr defaultRowHeight="15.6" x14ac:dyDescent="0.35"/>
  <cols>
    <col min="1" max="1" width="13.7265625" style="10" bestFit="1" customWidth="1"/>
    <col min="2" max="2" width="15.26953125" style="10" customWidth="1"/>
    <col min="3" max="3" width="19.54296875" style="10" bestFit="1" customWidth="1"/>
    <col min="4" max="4" width="12.7265625" style="10" customWidth="1"/>
    <col min="5" max="5" width="13.08984375" style="10" customWidth="1"/>
    <col min="6" max="7" width="12.26953125" style="10" customWidth="1"/>
    <col min="8" max="8" width="8.7265625" style="10"/>
    <col min="9" max="9" width="19.7265625" style="11" bestFit="1" customWidth="1"/>
    <col min="10" max="10" width="19.26953125" style="11" bestFit="1" customWidth="1"/>
    <col min="11" max="16384" width="8.7265625" style="10"/>
  </cols>
  <sheetData>
    <row r="1" spans="1:10" ht="16.2" customHeight="1" thickBot="1" x14ac:dyDescent="0.4">
      <c r="A1" s="88" t="s">
        <v>1</v>
      </c>
      <c r="B1" s="88"/>
      <c r="C1" s="88"/>
      <c r="E1" s="88" t="s">
        <v>36</v>
      </c>
      <c r="F1" s="88"/>
      <c r="I1" s="10"/>
      <c r="J1" s="10"/>
    </row>
    <row r="2" spans="1:10" x14ac:dyDescent="0.35">
      <c r="A2" s="10" t="s">
        <v>4</v>
      </c>
      <c r="B2" s="11" t="e" vm="1">
        <v>#VALUE!</v>
      </c>
      <c r="C2" s="10" t="s">
        <v>6</v>
      </c>
      <c r="E2" s="22" t="s">
        <v>35</v>
      </c>
      <c r="F2" s="11">
        <v>1</v>
      </c>
      <c r="I2" s="10"/>
      <c r="J2" s="10"/>
    </row>
    <row r="3" spans="1:10" x14ac:dyDescent="0.35">
      <c r="A3" s="10" t="s">
        <v>9</v>
      </c>
      <c r="B3" s="11" t="e" vm="2">
        <v>#VALUE!</v>
      </c>
      <c r="C3" s="10" t="s">
        <v>5</v>
      </c>
      <c r="E3" s="22" t="s">
        <v>39</v>
      </c>
      <c r="F3" s="11">
        <v>2</v>
      </c>
      <c r="I3" s="10"/>
      <c r="J3" s="10"/>
    </row>
    <row r="4" spans="1:10" ht="16.2" thickBot="1" x14ac:dyDescent="0.4">
      <c r="A4" s="10" t="s">
        <v>3</v>
      </c>
      <c r="B4" s="11" t="e" vm="3">
        <v>#VALUE!</v>
      </c>
      <c r="C4" s="10" t="s">
        <v>8</v>
      </c>
      <c r="E4" s="23" t="s">
        <v>40</v>
      </c>
      <c r="F4" s="21">
        <v>3</v>
      </c>
      <c r="I4" s="10"/>
      <c r="J4" s="10"/>
    </row>
    <row r="5" spans="1:10" ht="16.2" thickBot="1" x14ac:dyDescent="0.4">
      <c r="A5" s="13" t="s">
        <v>2</v>
      </c>
      <c r="B5" s="19" t="e" vm="4">
        <v>#VALUE!</v>
      </c>
      <c r="C5" s="13" t="s">
        <v>7</v>
      </c>
      <c r="I5" s="10"/>
      <c r="J5" s="10"/>
    </row>
    <row r="6" spans="1:10" x14ac:dyDescent="0.35">
      <c r="I6" s="10"/>
      <c r="J6" s="10"/>
    </row>
    <row r="7" spans="1:10" ht="16.2" thickBot="1" x14ac:dyDescent="0.4">
      <c r="A7" s="12" t="s">
        <v>22</v>
      </c>
      <c r="B7" s="13"/>
      <c r="C7" s="13"/>
      <c r="D7" s="13"/>
      <c r="E7" s="13"/>
      <c r="F7" s="13"/>
      <c r="G7" s="13"/>
      <c r="H7" s="13"/>
      <c r="I7" s="13"/>
      <c r="J7" s="13"/>
    </row>
    <row r="8" spans="1:10" x14ac:dyDescent="0.35">
      <c r="A8" s="10" t="s">
        <v>43</v>
      </c>
      <c r="B8" s="14">
        <v>0</v>
      </c>
      <c r="C8" s="10" t="s">
        <v>27</v>
      </c>
      <c r="D8" s="14">
        <v>0</v>
      </c>
      <c r="E8" s="10" t="s">
        <v>28</v>
      </c>
      <c r="F8" s="14">
        <v>0</v>
      </c>
      <c r="G8" s="10" t="s">
        <v>29</v>
      </c>
      <c r="H8" s="14">
        <v>0</v>
      </c>
      <c r="I8" s="15" t="s">
        <v>51</v>
      </c>
      <c r="J8" s="16">
        <v>0</v>
      </c>
    </row>
    <row r="9" spans="1:10" x14ac:dyDescent="0.35">
      <c r="A9" s="10" t="s">
        <v>49</v>
      </c>
      <c r="B9" s="14">
        <v>0</v>
      </c>
      <c r="C9" s="10" t="s">
        <v>50</v>
      </c>
      <c r="D9" s="10">
        <v>0</v>
      </c>
      <c r="E9" s="10" t="s">
        <v>28</v>
      </c>
      <c r="F9" s="10">
        <v>0</v>
      </c>
      <c r="G9" s="10" t="s">
        <v>48</v>
      </c>
      <c r="H9" s="10">
        <f>colRaw-cDuplicated</f>
        <v>0</v>
      </c>
      <c r="I9" s="15" t="s">
        <v>52</v>
      </c>
      <c r="J9" s="16">
        <f>$D$10</f>
        <v>0</v>
      </c>
    </row>
    <row r="10" spans="1:10" x14ac:dyDescent="0.35">
      <c r="B10" s="14"/>
      <c r="C10" s="10" t="s">
        <v>46</v>
      </c>
      <c r="D10" s="14">
        <f>COUNTIF(data_desc[Type],"Continuous")</f>
        <v>0</v>
      </c>
      <c r="E10" s="10" t="s">
        <v>23</v>
      </c>
      <c r="F10" s="14">
        <f>H9-D10</f>
        <v>0</v>
      </c>
      <c r="I10" s="15"/>
      <c r="J10" s="16"/>
    </row>
    <row r="11" spans="1:10" x14ac:dyDescent="0.35">
      <c r="A11" s="24" t="s">
        <v>41</v>
      </c>
      <c r="I11" s="10"/>
      <c r="J11" s="10"/>
    </row>
    <row r="12" spans="1:10" ht="18.600000000000001" customHeight="1" thickBot="1" x14ac:dyDescent="0.4">
      <c r="A12" s="9" t="s">
        <v>24</v>
      </c>
      <c r="B12" s="9" t="s">
        <v>25</v>
      </c>
      <c r="C12" s="9" t="s">
        <v>26</v>
      </c>
      <c r="D12" s="9" t="s">
        <v>30</v>
      </c>
      <c r="E12" s="9" t="s">
        <v>31</v>
      </c>
      <c r="F12" s="9" t="s">
        <v>32</v>
      </c>
      <c r="G12" s="9" t="s">
        <v>33</v>
      </c>
      <c r="H12" s="17"/>
      <c r="I12" s="25" t="s">
        <v>47</v>
      </c>
      <c r="J12" s="25" t="s">
        <v>42</v>
      </c>
    </row>
    <row r="13" spans="1:10" ht="16.2" thickTop="1" x14ac:dyDescent="0.35">
      <c r="B13" s="18"/>
      <c r="I13" s="40" t="str" cm="1">
        <f t="array" ref="I13">_xlfn._xlws.FILTER(data_desc[Attributes], data_desc[Type] = Data_Internal!$I$12, "Not available")</f>
        <v>Not available</v>
      </c>
      <c r="J13" s="40" t="str" cm="1">
        <f t="array" ref="J13">IF(_xlfn.LET(_xlpm.exists, MATCH("Cluster",tblResult[#Headers], 0), _xlfn.IFNA(_xlpm.exists, 0)) &gt; 0,
_xlfn.LET(_xlpm.flt, _xlfn._xlws.FILTER(data_desc[Attributes], data_desc[Type] = Data_Internal!$J$12), IF(IFERROR(ROWS(_xlpm.flt), 0) &gt; 0, _xlfn.VSTACK("Nothing", "Cluster", _xlpm.flt), _xlfn.VSTACK("Nothing", "Cluster"))),
_xlfn.LET(_xlpm.flt,_xlfn._xlws.FILTER(data_desc[Attributes],data_desc[Type]=Data_Internal!$J$12),IF(IFERROR(ROWS(_xlpm.flt), 0) &gt; 0, _xlfn.VSTACK("Nothing", _xlpm.flt),"Nothing")))</f>
        <v>Nothing</v>
      </c>
    </row>
  </sheetData>
  <sheetProtection algorithmName="SHA-512" hashValue="4JCxlgg31ITSWz+MzNQm+Awc1Ep5T/8zXszFVTBYOA+nxl5ceeggngVccNofCJ9hXCjKNnFoY734ncnYlX1RbA==" saltValue="1F6O5pczil0ieSSM/HTAPA==" spinCount="100000" sheet="1" objects="1" scenarios="1"/>
  <mergeCells count="2">
    <mergeCell ref="A1:C1"/>
    <mergeCell ref="E1:F1"/>
  </mergeCells>
  <phoneticPr fontId="10"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C2CBE-A64B-4B56-92AE-1CE411C5CA8D}">
  <sheetPr codeName="Sheet2">
    <tabColor theme="1"/>
    <pageSetUpPr autoPageBreaks="0"/>
  </sheetPr>
  <dimension ref="A1:S47"/>
  <sheetViews>
    <sheetView showGridLines="0" topLeftCell="A16" zoomScaleNormal="100" workbookViewId="0"/>
  </sheetViews>
  <sheetFormatPr defaultColWidth="0" defaultRowHeight="14.4" zeroHeight="1" x14ac:dyDescent="0.35"/>
  <cols>
    <col min="1" max="19" width="8.90625" style="44" customWidth="1"/>
    <col min="20" max="16384" width="9.08984375" style="44" hidden="1"/>
  </cols>
  <sheetData>
    <row r="1" spans="2:18" x14ac:dyDescent="0.35"/>
    <row r="2" spans="2:18" x14ac:dyDescent="0.35"/>
    <row r="3" spans="2:18" x14ac:dyDescent="0.35"/>
    <row r="4" spans="2:18" ht="18" x14ac:dyDescent="0.35">
      <c r="B4" s="42" t="s">
        <v>53</v>
      </c>
    </row>
    <row r="5" spans="2:18" x14ac:dyDescent="0.35">
      <c r="B5" s="89" t="s">
        <v>83</v>
      </c>
      <c r="C5" s="89"/>
      <c r="D5" s="89"/>
      <c r="E5" s="89"/>
      <c r="F5" s="89"/>
      <c r="G5" s="89"/>
      <c r="H5" s="89"/>
      <c r="I5" s="89"/>
      <c r="J5" s="89"/>
      <c r="K5" s="89"/>
      <c r="L5" s="89"/>
      <c r="M5" s="89"/>
      <c r="N5" s="89"/>
      <c r="O5" s="89"/>
      <c r="P5" s="89"/>
      <c r="Q5" s="89"/>
      <c r="R5" s="89"/>
    </row>
    <row r="6" spans="2:18" x14ac:dyDescent="0.35">
      <c r="B6" s="89"/>
      <c r="C6" s="89"/>
      <c r="D6" s="89"/>
      <c r="E6" s="89"/>
      <c r="F6" s="89"/>
      <c r="G6" s="89"/>
      <c r="H6" s="89"/>
      <c r="I6" s="89"/>
      <c r="J6" s="89"/>
      <c r="K6" s="89"/>
      <c r="L6" s="89"/>
      <c r="M6" s="89"/>
      <c r="N6" s="89"/>
      <c r="O6" s="89"/>
      <c r="P6" s="89"/>
      <c r="Q6" s="89"/>
      <c r="R6" s="89"/>
    </row>
    <row r="7" spans="2:18" ht="15.6" customHeight="1" x14ac:dyDescent="0.35">
      <c r="B7" s="89" t="s">
        <v>84</v>
      </c>
      <c r="C7" s="89"/>
      <c r="D7" s="89"/>
      <c r="E7" s="89"/>
      <c r="F7" s="89"/>
      <c r="G7" s="89"/>
      <c r="H7" s="89"/>
      <c r="I7" s="89"/>
      <c r="J7" s="89"/>
      <c r="K7" s="89"/>
      <c r="L7" s="89"/>
      <c r="M7" s="89"/>
      <c r="N7" s="89"/>
      <c r="O7" s="89"/>
      <c r="P7" s="89"/>
      <c r="Q7" s="89"/>
      <c r="R7" s="89"/>
    </row>
    <row r="8" spans="2:18" ht="15.6" customHeight="1" x14ac:dyDescent="0.35">
      <c r="B8" s="89"/>
      <c r="C8" s="89"/>
      <c r="D8" s="89"/>
      <c r="E8" s="89"/>
      <c r="F8" s="89"/>
      <c r="G8" s="89"/>
      <c r="H8" s="89"/>
      <c r="I8" s="89"/>
      <c r="J8" s="89"/>
      <c r="K8" s="89"/>
      <c r="L8" s="89"/>
      <c r="M8" s="89"/>
      <c r="N8" s="89"/>
      <c r="O8" s="89"/>
      <c r="P8" s="89"/>
      <c r="Q8" s="89"/>
      <c r="R8" s="89"/>
    </row>
    <row r="9" spans="2:18" ht="12" customHeight="1" x14ac:dyDescent="0.35"/>
    <row r="10" spans="2:18" ht="18" x14ac:dyDescent="0.35">
      <c r="B10" s="42" t="s">
        <v>54</v>
      </c>
    </row>
    <row r="11" spans="2:18" ht="15.6" x14ac:dyDescent="0.35">
      <c r="C11" s="47" t="s">
        <v>59</v>
      </c>
    </row>
    <row r="12" spans="2:18" ht="15.6" x14ac:dyDescent="0.35">
      <c r="C12" s="43" t="s">
        <v>72</v>
      </c>
    </row>
    <row r="13" spans="2:18" ht="15.6" x14ac:dyDescent="0.35">
      <c r="C13" s="43" t="s">
        <v>58</v>
      </c>
    </row>
    <row r="14" spans="2:18" ht="15.6" x14ac:dyDescent="0.35">
      <c r="C14" s="43" t="s">
        <v>71</v>
      </c>
    </row>
    <row r="15" spans="2:18" ht="15.6" x14ac:dyDescent="0.35">
      <c r="C15" s="43" t="s">
        <v>95</v>
      </c>
    </row>
    <row r="16" spans="2:18" ht="12" customHeight="1" x14ac:dyDescent="0.35"/>
    <row r="17" spans="2:18" ht="18" x14ac:dyDescent="0.35">
      <c r="B17" s="42" t="s">
        <v>55</v>
      </c>
    </row>
    <row r="18" spans="2:18" ht="15.6" x14ac:dyDescent="0.35">
      <c r="C18" s="47" t="s">
        <v>60</v>
      </c>
    </row>
    <row r="19" spans="2:18" ht="12" customHeight="1" x14ac:dyDescent="0.35"/>
    <row r="20" spans="2:18" ht="18" x14ac:dyDescent="0.35">
      <c r="B20" s="90" t="s">
        <v>57</v>
      </c>
      <c r="C20" s="90"/>
      <c r="D20" s="90"/>
      <c r="E20" s="90"/>
      <c r="F20" s="90"/>
      <c r="G20" s="90"/>
      <c r="H20" s="90"/>
      <c r="I20" s="90"/>
      <c r="J20" s="90"/>
      <c r="K20" s="90"/>
      <c r="L20" s="90"/>
      <c r="M20" s="90"/>
      <c r="N20" s="90"/>
      <c r="O20" s="90"/>
      <c r="P20" s="90"/>
      <c r="Q20" s="90"/>
      <c r="R20" s="90"/>
    </row>
    <row r="21" spans="2:18" ht="22.2" customHeight="1" x14ac:dyDescent="0.35">
      <c r="B21" s="46"/>
      <c r="C21" s="52" t="s">
        <v>66</v>
      </c>
      <c r="D21" s="46"/>
      <c r="E21" s="46"/>
      <c r="F21" s="46"/>
      <c r="G21" s="46"/>
      <c r="H21" s="46"/>
      <c r="I21" s="46"/>
      <c r="J21" s="46"/>
      <c r="K21" s="46"/>
      <c r="L21" s="46"/>
      <c r="M21" s="46"/>
      <c r="N21" s="46"/>
      <c r="O21" s="46"/>
      <c r="P21" s="46"/>
      <c r="Q21" s="46"/>
      <c r="R21" s="46"/>
    </row>
    <row r="22" spans="2:18" ht="22.2" customHeight="1" x14ac:dyDescent="0.35">
      <c r="B22" s="46"/>
      <c r="C22" s="52" t="s">
        <v>67</v>
      </c>
      <c r="D22" s="46"/>
      <c r="E22" s="46"/>
      <c r="F22" s="46"/>
      <c r="G22" s="46"/>
      <c r="H22" s="46"/>
      <c r="I22" s="46"/>
      <c r="J22" s="46"/>
      <c r="K22" s="46"/>
      <c r="L22" s="46"/>
      <c r="M22" s="46"/>
      <c r="N22" s="46"/>
      <c r="O22" s="46"/>
      <c r="P22" s="46"/>
      <c r="Q22" s="46"/>
      <c r="R22" s="46"/>
    </row>
    <row r="23" spans="2:18" ht="22.2" customHeight="1" x14ac:dyDescent="0.35">
      <c r="B23" s="46"/>
      <c r="C23" s="52" t="s">
        <v>82</v>
      </c>
      <c r="D23" s="46"/>
      <c r="E23" s="46"/>
      <c r="F23" s="46"/>
      <c r="G23" s="46"/>
      <c r="H23" s="46"/>
      <c r="I23" s="46"/>
      <c r="J23" s="46"/>
      <c r="K23" s="46"/>
      <c r="L23" s="46"/>
      <c r="M23" s="46"/>
      <c r="N23" s="46"/>
      <c r="O23" s="46"/>
      <c r="P23" s="46"/>
      <c r="Q23" s="46"/>
      <c r="R23" s="46"/>
    </row>
    <row r="24" spans="2:18" ht="22.2" customHeight="1" x14ac:dyDescent="0.35">
      <c r="B24" s="46"/>
      <c r="C24" s="52" t="s">
        <v>68</v>
      </c>
      <c r="D24" s="46"/>
      <c r="E24" s="46"/>
      <c r="F24" s="46"/>
      <c r="G24" s="46"/>
      <c r="H24" s="46"/>
      <c r="I24" s="46"/>
      <c r="J24" s="46"/>
      <c r="K24" s="46"/>
      <c r="L24" s="46"/>
      <c r="M24" s="46"/>
      <c r="N24" s="46"/>
      <c r="O24" s="46"/>
      <c r="P24" s="46"/>
      <c r="Q24" s="46"/>
      <c r="R24" s="46"/>
    </row>
    <row r="25" spans="2:18" x14ac:dyDescent="0.35">
      <c r="B25" s="46"/>
      <c r="C25" s="92" t="s">
        <v>101</v>
      </c>
      <c r="D25" s="92"/>
      <c r="E25" s="92"/>
      <c r="F25" s="92"/>
      <c r="G25" s="92"/>
      <c r="H25" s="92"/>
      <c r="I25" s="92"/>
      <c r="J25" s="92"/>
      <c r="K25" s="92"/>
      <c r="L25" s="92"/>
      <c r="M25" s="92"/>
      <c r="N25" s="92"/>
      <c r="O25" s="92"/>
      <c r="P25" s="92"/>
      <c r="Q25" s="92"/>
      <c r="R25" s="92"/>
    </row>
    <row r="26" spans="2:18" ht="22.2" customHeight="1" x14ac:dyDescent="0.35">
      <c r="B26" s="46"/>
      <c r="C26" s="92"/>
      <c r="D26" s="92"/>
      <c r="E26" s="92"/>
      <c r="F26" s="92"/>
      <c r="G26" s="92"/>
      <c r="H26" s="92"/>
      <c r="I26" s="92"/>
      <c r="J26" s="92"/>
      <c r="K26" s="92"/>
      <c r="L26" s="92"/>
      <c r="M26" s="92"/>
      <c r="N26" s="92"/>
      <c r="O26" s="92"/>
      <c r="P26" s="92"/>
      <c r="Q26" s="92"/>
      <c r="R26" s="92"/>
    </row>
    <row r="27" spans="2:18" ht="22.2" customHeight="1" x14ac:dyDescent="0.35">
      <c r="B27" s="46"/>
      <c r="C27" s="63" t="s">
        <v>69</v>
      </c>
      <c r="D27" s="62"/>
      <c r="E27" s="61"/>
      <c r="F27" s="61"/>
      <c r="G27" s="61"/>
      <c r="H27" s="61"/>
      <c r="I27" s="61"/>
      <c r="J27" s="61"/>
      <c r="K27" s="61"/>
      <c r="L27" s="61"/>
      <c r="M27" s="61"/>
      <c r="N27" s="61"/>
      <c r="O27" s="61"/>
      <c r="P27" s="61"/>
      <c r="Q27" s="61"/>
      <c r="R27" s="61"/>
    </row>
    <row r="28" spans="2:18" ht="22.2" customHeight="1" x14ac:dyDescent="0.35">
      <c r="B28" s="46"/>
      <c r="C28" s="52" t="s">
        <v>70</v>
      </c>
      <c r="D28" s="62"/>
      <c r="E28" s="61"/>
      <c r="F28" s="61"/>
      <c r="G28" s="61"/>
      <c r="H28" s="61"/>
      <c r="I28" s="61"/>
      <c r="J28" s="61"/>
      <c r="K28" s="61"/>
      <c r="L28" s="61"/>
      <c r="M28" s="61"/>
      <c r="N28" s="61"/>
      <c r="O28" s="61"/>
      <c r="P28" s="61"/>
      <c r="Q28" s="61"/>
      <c r="R28" s="61"/>
    </row>
    <row r="29" spans="2:18" ht="9.6" customHeight="1" thickBot="1" x14ac:dyDescent="0.4">
      <c r="B29" s="46"/>
      <c r="C29" s="52"/>
      <c r="D29" s="52"/>
      <c r="E29" s="46"/>
      <c r="F29" s="64"/>
      <c r="G29" s="64"/>
      <c r="H29" s="64"/>
      <c r="I29" s="64"/>
      <c r="J29" s="64"/>
      <c r="K29" s="64"/>
      <c r="L29" s="64"/>
      <c r="M29" s="64"/>
      <c r="N29" s="64"/>
      <c r="O29" s="46"/>
      <c r="P29" s="46"/>
      <c r="Q29" s="46"/>
      <c r="R29" s="46"/>
    </row>
    <row r="30" spans="2:18" ht="28.8" customHeight="1" x14ac:dyDescent="0.35">
      <c r="B30" s="46"/>
      <c r="C30" s="53"/>
      <c r="D30" s="53" t="s">
        <v>93</v>
      </c>
      <c r="E30" s="46"/>
      <c r="F30" s="52"/>
      <c r="G30" s="46"/>
      <c r="H30" s="46"/>
      <c r="I30" s="46"/>
      <c r="J30" s="46"/>
      <c r="K30" s="46"/>
      <c r="L30" s="46"/>
      <c r="M30" s="46"/>
      <c r="N30" s="70" t="s">
        <v>62</v>
      </c>
      <c r="O30" s="51"/>
      <c r="P30" s="46"/>
      <c r="Q30" s="46"/>
      <c r="R30" s="46"/>
    </row>
    <row r="31" spans="2:18" x14ac:dyDescent="0.35">
      <c r="B31" s="46"/>
      <c r="C31" s="46"/>
      <c r="D31" s="46"/>
      <c r="E31" s="46"/>
      <c r="F31" s="46"/>
      <c r="G31" s="46"/>
      <c r="H31" s="46"/>
      <c r="I31" s="46"/>
      <c r="J31" s="46"/>
      <c r="K31" s="46"/>
      <c r="L31" s="46"/>
      <c r="M31" s="46"/>
      <c r="N31" s="46"/>
      <c r="O31" s="46"/>
      <c r="P31" s="46"/>
      <c r="Q31" s="46"/>
      <c r="R31" s="46"/>
    </row>
    <row r="32" spans="2:18" ht="21.6" customHeight="1" x14ac:dyDescent="0.35">
      <c r="B32" s="46"/>
      <c r="C32" s="46"/>
      <c r="D32" s="46"/>
      <c r="E32" s="46"/>
      <c r="F32" s="46"/>
      <c r="G32" s="46"/>
      <c r="H32" s="46"/>
      <c r="I32" s="46"/>
      <c r="J32" s="46"/>
      <c r="K32" s="46"/>
      <c r="L32" s="46"/>
      <c r="M32" s="46"/>
      <c r="N32" s="46"/>
      <c r="O32" s="46"/>
      <c r="P32" s="46"/>
      <c r="Q32" s="46"/>
      <c r="R32" s="46"/>
    </row>
    <row r="33" spans="1:19" x14ac:dyDescent="0.35"/>
    <row r="34" spans="1:19" ht="18" x14ac:dyDescent="0.35">
      <c r="B34" s="42" t="s">
        <v>61</v>
      </c>
    </row>
    <row r="35" spans="1:19" ht="15.6" x14ac:dyDescent="0.35">
      <c r="B35" s="43"/>
      <c r="C35" s="91" t="s">
        <v>78</v>
      </c>
      <c r="D35" s="91"/>
      <c r="E35" s="91"/>
      <c r="F35" s="91"/>
      <c r="G35" s="91"/>
      <c r="H35" s="91"/>
      <c r="I35" s="91"/>
      <c r="J35" s="91"/>
      <c r="K35" s="91"/>
      <c r="L35" s="91"/>
      <c r="M35" s="91"/>
      <c r="N35" s="91"/>
      <c r="O35" s="91"/>
      <c r="P35" s="91"/>
      <c r="Q35" s="91"/>
      <c r="R35" s="91"/>
    </row>
    <row r="36" spans="1:19" x14ac:dyDescent="0.35">
      <c r="C36" s="91"/>
      <c r="D36" s="91"/>
      <c r="E36" s="91"/>
      <c r="F36" s="91"/>
      <c r="G36" s="91"/>
      <c r="H36" s="91"/>
      <c r="I36" s="91"/>
      <c r="J36" s="91"/>
      <c r="K36" s="91"/>
      <c r="L36" s="91"/>
      <c r="M36" s="91"/>
      <c r="N36" s="91"/>
      <c r="O36" s="91"/>
      <c r="P36" s="91"/>
      <c r="Q36" s="91"/>
      <c r="R36" s="91"/>
    </row>
    <row r="37" spans="1:19" x14ac:dyDescent="0.35">
      <c r="C37" s="91" t="s">
        <v>79</v>
      </c>
      <c r="D37" s="91"/>
      <c r="E37" s="91"/>
      <c r="F37" s="91"/>
      <c r="G37" s="91"/>
      <c r="H37" s="91"/>
      <c r="I37" s="91"/>
      <c r="J37" s="91"/>
      <c r="K37" s="91"/>
      <c r="L37" s="91"/>
      <c r="M37" s="91"/>
      <c r="N37" s="91"/>
      <c r="O37" s="91"/>
      <c r="P37" s="91"/>
      <c r="Q37" s="91"/>
      <c r="R37" s="91"/>
    </row>
    <row r="38" spans="1:19" ht="14.4" customHeight="1" x14ac:dyDescent="0.35">
      <c r="C38" s="91" t="s">
        <v>92</v>
      </c>
      <c r="D38" s="91"/>
      <c r="E38" s="91"/>
      <c r="F38" s="91"/>
      <c r="G38" s="91"/>
      <c r="H38" s="91"/>
      <c r="I38" s="91"/>
      <c r="J38" s="91"/>
      <c r="K38" s="91"/>
      <c r="L38" s="91"/>
      <c r="M38" s="91"/>
      <c r="N38" s="91"/>
      <c r="O38" s="91"/>
      <c r="P38" s="91"/>
      <c r="Q38" s="91"/>
      <c r="R38" s="91"/>
    </row>
    <row r="39" spans="1:19" x14ac:dyDescent="0.35">
      <c r="C39" s="91"/>
      <c r="D39" s="91"/>
      <c r="E39" s="91"/>
      <c r="F39" s="91"/>
      <c r="G39" s="91"/>
      <c r="H39" s="91"/>
      <c r="I39" s="91"/>
      <c r="J39" s="91"/>
      <c r="K39" s="91"/>
      <c r="L39" s="91"/>
      <c r="M39" s="91"/>
      <c r="N39" s="91"/>
      <c r="O39" s="91"/>
      <c r="P39" s="91"/>
      <c r="Q39" s="91"/>
      <c r="R39" s="91"/>
    </row>
    <row r="40" spans="1:19" x14ac:dyDescent="0.35">
      <c r="C40" s="45"/>
      <c r="D40" s="45"/>
      <c r="E40" s="45"/>
      <c r="F40" s="45"/>
      <c r="G40" s="45"/>
      <c r="H40" s="45"/>
      <c r="I40" s="45"/>
      <c r="J40" s="45"/>
      <c r="K40" s="45"/>
      <c r="L40" s="45"/>
      <c r="M40" s="45"/>
      <c r="N40" s="45"/>
      <c r="O40" s="45"/>
      <c r="P40" s="45"/>
      <c r="Q40" s="45"/>
      <c r="R40" s="45"/>
    </row>
    <row r="41" spans="1:19" ht="15.6" x14ac:dyDescent="0.35">
      <c r="A41" s="48"/>
      <c r="B41" s="49" t="s">
        <v>56</v>
      </c>
      <c r="C41" s="50"/>
      <c r="D41" s="50"/>
      <c r="E41" s="50"/>
      <c r="F41" s="50"/>
      <c r="G41" s="50"/>
      <c r="H41" s="50"/>
      <c r="I41" s="50"/>
      <c r="J41" s="50"/>
      <c r="K41" s="50"/>
      <c r="L41" s="50"/>
      <c r="M41" s="50"/>
      <c r="N41" s="50"/>
      <c r="O41" s="50"/>
      <c r="P41" s="50"/>
      <c r="Q41" s="50"/>
      <c r="R41" s="50"/>
      <c r="S41" s="48"/>
    </row>
    <row r="42" spans="1:19" ht="15.6" x14ac:dyDescent="0.35">
      <c r="B42" s="43"/>
      <c r="C42" s="67"/>
      <c r="D42" s="68" t="s">
        <v>74</v>
      </c>
      <c r="E42" s="67"/>
      <c r="G42" s="66"/>
      <c r="H42" s="68"/>
      <c r="I42" s="68"/>
      <c r="J42" s="68"/>
      <c r="K42" s="94" t="s">
        <v>75</v>
      </c>
      <c r="L42" s="94"/>
      <c r="M42" s="68"/>
      <c r="N42" s="68"/>
      <c r="O42" s="68"/>
      <c r="P42" s="47"/>
      <c r="Q42" s="94" t="s">
        <v>76</v>
      </c>
      <c r="R42" s="94"/>
    </row>
    <row r="43" spans="1:19" x14ac:dyDescent="0.35">
      <c r="C43" s="65"/>
      <c r="D43" s="65" t="s">
        <v>87</v>
      </c>
      <c r="E43" s="65"/>
      <c r="G43" s="65"/>
      <c r="I43" s="65" t="s">
        <v>88</v>
      </c>
      <c r="K43" s="65"/>
      <c r="L43" s="65"/>
      <c r="N43" s="65" t="s">
        <v>90</v>
      </c>
      <c r="Q43" s="95" t="s">
        <v>73</v>
      </c>
      <c r="R43" s="95"/>
    </row>
    <row r="44" spans="1:19" x14ac:dyDescent="0.35">
      <c r="C44" s="65"/>
      <c r="D44" s="69" t="s">
        <v>86</v>
      </c>
      <c r="E44" s="65"/>
      <c r="G44" s="65"/>
      <c r="I44" s="69" t="s">
        <v>86</v>
      </c>
      <c r="K44" s="65"/>
      <c r="L44" s="65"/>
      <c r="N44" s="69" t="s">
        <v>86</v>
      </c>
      <c r="O44" s="65"/>
    </row>
    <row r="45" spans="1:19" x14ac:dyDescent="0.35">
      <c r="C45" s="65"/>
      <c r="D45" s="65"/>
      <c r="F45" s="65"/>
      <c r="G45" s="65"/>
      <c r="I45" s="65" t="s">
        <v>89</v>
      </c>
      <c r="K45" s="65"/>
      <c r="L45" s="65"/>
      <c r="N45" s="65" t="s">
        <v>91</v>
      </c>
      <c r="Q45" s="94" t="s">
        <v>77</v>
      </c>
      <c r="R45" s="94"/>
    </row>
    <row r="46" spans="1:19" x14ac:dyDescent="0.35">
      <c r="I46" s="69" t="s">
        <v>86</v>
      </c>
      <c r="N46" s="69" t="s">
        <v>86</v>
      </c>
      <c r="Q46" s="93">
        <v>45678</v>
      </c>
      <c r="R46" s="93"/>
    </row>
    <row r="47" spans="1:19" x14ac:dyDescent="0.35"/>
  </sheetData>
  <sheetProtection algorithmName="SHA-512" hashValue="I+qj42dXJ8SLV8kZQ2GcJ+PhRtLbzwOzDEW3f5mavH5QVG0dQHynLNcHcYwNRJiWFkJ81NUNO3gXC4ZHRtOSQw==" saltValue="qQGk1VMTd0gl0GhrFYbr2w==" spinCount="100000" sheet="1" objects="1" scenarios="1"/>
  <mergeCells count="12">
    <mergeCell ref="Q46:R46"/>
    <mergeCell ref="K42:L42"/>
    <mergeCell ref="Q45:R45"/>
    <mergeCell ref="Q43:R43"/>
    <mergeCell ref="Q42:R42"/>
    <mergeCell ref="B5:R6"/>
    <mergeCell ref="B20:R20"/>
    <mergeCell ref="C35:R36"/>
    <mergeCell ref="C37:R37"/>
    <mergeCell ref="C38:R39"/>
    <mergeCell ref="C25:R26"/>
    <mergeCell ref="B7:R8"/>
  </mergeCells>
  <pageMargins left="0.7" right="0.7" top="0.75" bottom="0.75" header="0.3" footer="0.3"/>
  <pageSetup fitToWidth="0" fitToHeight="0"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5290C-9805-4210-9B27-B7F38196FA1D}">
  <sheetPr codeName="Sheet3">
    <tabColor rgb="FFFFC000"/>
  </sheetPr>
  <dimension ref="B1:S31"/>
  <sheetViews>
    <sheetView tabSelected="1" zoomScaleNormal="100" workbookViewId="0">
      <selection activeCell="B1" sqref="B1"/>
    </sheetView>
  </sheetViews>
  <sheetFormatPr defaultRowHeight="14.4" x14ac:dyDescent="0.35"/>
  <cols>
    <col min="1" max="1" width="1.81640625" style="2" customWidth="1"/>
    <col min="2" max="2" width="8.7265625" style="2" customWidth="1"/>
    <col min="3" max="3" width="8.7265625" style="2"/>
    <col min="4" max="5" width="8.6328125" style="2" customWidth="1"/>
    <col min="6" max="6" width="2" style="2" customWidth="1"/>
    <col min="7" max="18" width="8.7265625" style="2"/>
    <col min="19" max="19" width="9.08984375" style="2" customWidth="1"/>
    <col min="20" max="16384" width="8.7265625" style="2"/>
  </cols>
  <sheetData>
    <row r="1" spans="2:19" s="1" customFormat="1" ht="9.6" customHeight="1" x14ac:dyDescent="0.35"/>
    <row r="2" spans="2:19" s="1" customFormat="1" ht="15.6" x14ac:dyDescent="0.35">
      <c r="C2" s="3"/>
      <c r="D2" s="3"/>
      <c r="P2" s="6"/>
      <c r="Q2" s="5" t="s">
        <v>0</v>
      </c>
      <c r="R2" s="4" t="e" vm="5">
        <f>IFERROR(VLOOKUP($S$2,Status_list,2,0),"")</f>
        <v>#VALUE!</v>
      </c>
      <c r="S2" s="7" t="s">
        <v>4</v>
      </c>
    </row>
    <row r="3" spans="2:19" s="1" customFormat="1" ht="9.6" customHeight="1" x14ac:dyDescent="0.35"/>
    <row r="4" spans="2:19" s="8" customFormat="1" ht="22.8" customHeight="1" x14ac:dyDescent="0.35"/>
    <row r="5" spans="2:19" ht="15.6" x14ac:dyDescent="0.35">
      <c r="B5" s="26" t="s">
        <v>38</v>
      </c>
      <c r="G5" s="20" t="s">
        <v>80</v>
      </c>
    </row>
    <row r="6" spans="2:19" ht="18" x14ac:dyDescent="0.35">
      <c r="B6" s="27" t="s">
        <v>19</v>
      </c>
      <c r="C6" s="27"/>
      <c r="D6" s="27"/>
      <c r="E6" s="27"/>
    </row>
    <row r="7" spans="2:19" x14ac:dyDescent="0.35">
      <c r="B7" s="28" t="s">
        <v>10</v>
      </c>
      <c r="C7" s="29"/>
      <c r="D7" s="29"/>
      <c r="E7" s="30" t="e" vm="6">
        <v>#VALUE!</v>
      </c>
    </row>
    <row r="8" spans="2:19" ht="15.6" x14ac:dyDescent="0.35">
      <c r="B8" s="31" t="s">
        <v>15</v>
      </c>
      <c r="C8" s="31"/>
      <c r="D8" s="31"/>
      <c r="E8" s="71">
        <v>3</v>
      </c>
    </row>
    <row r="9" spans="2:19" ht="15.6" x14ac:dyDescent="0.35">
      <c r="B9" s="31" t="s">
        <v>45</v>
      </c>
      <c r="C9" s="31"/>
      <c r="D9" s="31"/>
      <c r="E9" s="72" t="b">
        <v>0</v>
      </c>
    </row>
    <row r="10" spans="2:19" ht="15.6" x14ac:dyDescent="0.35">
      <c r="B10" s="32" t="s">
        <v>16</v>
      </c>
      <c r="C10" s="31"/>
      <c r="D10" s="31"/>
      <c r="E10" s="72" t="b">
        <v>0</v>
      </c>
    </row>
    <row r="11" spans="2:19" ht="15.6" x14ac:dyDescent="0.35">
      <c r="B11" s="38" t="s">
        <v>11</v>
      </c>
      <c r="C11" s="71">
        <v>3</v>
      </c>
      <c r="D11" s="33" t="s">
        <v>37</v>
      </c>
      <c r="E11" s="71">
        <v>5</v>
      </c>
    </row>
    <row r="13" spans="2:19" x14ac:dyDescent="0.35">
      <c r="B13" s="28" t="s">
        <v>12</v>
      </c>
      <c r="E13" s="30" t="e" vm="7">
        <v>#VALUE!</v>
      </c>
    </row>
    <row r="14" spans="2:19" ht="15.6" x14ac:dyDescent="0.35">
      <c r="B14" s="31" t="s">
        <v>94</v>
      </c>
      <c r="C14" s="31"/>
      <c r="D14" s="31"/>
      <c r="E14" s="72" t="b">
        <v>1</v>
      </c>
    </row>
    <row r="16" spans="2:19" x14ac:dyDescent="0.35">
      <c r="B16" s="28" t="s">
        <v>13</v>
      </c>
      <c r="E16" s="30" t="e" vm="8">
        <v>#VALUE!</v>
      </c>
    </row>
    <row r="17" spans="2:5" ht="15.6" x14ac:dyDescent="0.35">
      <c r="B17" s="31" t="s">
        <v>17</v>
      </c>
      <c r="C17" s="8"/>
      <c r="D17" s="8"/>
      <c r="E17" s="73">
        <v>1</v>
      </c>
    </row>
    <row r="18" spans="2:5" ht="15.6" x14ac:dyDescent="0.35">
      <c r="B18" s="31" t="s">
        <v>14</v>
      </c>
      <c r="C18" s="8"/>
      <c r="D18" s="8"/>
      <c r="E18" s="71">
        <v>1</v>
      </c>
    </row>
    <row r="19" spans="2:5" ht="15.6" x14ac:dyDescent="0.35">
      <c r="B19" s="31" t="s">
        <v>18</v>
      </c>
      <c r="C19" s="8"/>
      <c r="D19" s="8"/>
      <c r="E19" s="71">
        <v>300</v>
      </c>
    </row>
    <row r="21" spans="2:5" x14ac:dyDescent="0.35">
      <c r="B21" s="34"/>
      <c r="C21" s="34"/>
      <c r="D21" s="34"/>
      <c r="E21" s="34"/>
    </row>
    <row r="22" spans="2:5" ht="6" customHeight="1" x14ac:dyDescent="0.35"/>
    <row r="23" spans="2:5" ht="18" x14ac:dyDescent="0.35">
      <c r="B23" s="39" t="s">
        <v>81</v>
      </c>
      <c r="C23" s="27"/>
      <c r="D23" s="27"/>
      <c r="E23" s="27"/>
    </row>
    <row r="24" spans="2:5" x14ac:dyDescent="0.35">
      <c r="B24" s="28" t="s">
        <v>20</v>
      </c>
      <c r="E24" s="30" t="e" vm="6">
        <v>#VALUE!</v>
      </c>
    </row>
    <row r="25" spans="2:5" ht="15.6" x14ac:dyDescent="0.35">
      <c r="B25" s="8" t="s">
        <v>44</v>
      </c>
      <c r="C25" s="35"/>
      <c r="D25" s="36"/>
      <c r="E25" s="74">
        <v>1</v>
      </c>
    </row>
    <row r="26" spans="2:5" ht="15.6" x14ac:dyDescent="0.35">
      <c r="B26" s="8" t="s">
        <v>21</v>
      </c>
      <c r="C26" s="35"/>
      <c r="D26" s="36"/>
      <c r="E26" s="74">
        <v>1</v>
      </c>
    </row>
    <row r="28" spans="2:5" x14ac:dyDescent="0.35">
      <c r="B28" s="28" t="s">
        <v>24</v>
      </c>
      <c r="E28" s="30" t="e" vm="7">
        <v>#VALUE!</v>
      </c>
    </row>
    <row r="29" spans="2:5" ht="15.6" x14ac:dyDescent="0.35">
      <c r="B29" s="8" t="s">
        <v>34</v>
      </c>
      <c r="C29" s="35"/>
      <c r="D29" s="36"/>
      <c r="E29" s="74">
        <v>1</v>
      </c>
    </row>
    <row r="31" spans="2:5" x14ac:dyDescent="0.35">
      <c r="B31" s="34"/>
      <c r="C31" s="34"/>
      <c r="D31" s="34"/>
      <c r="E31" s="34"/>
    </row>
  </sheetData>
  <sheetProtection algorithmName="SHA-512" hashValue="kcWxKAquIUORhGeSRVcitjQuJWQzX4xtZsjpjyVzUOQjCZFfYEajRA0TIYYoXDFmmzdFE+eRA/OyLWiYxPZNVQ==" saltValue="Wqnn3Yo6GwiAOlY8ir+58Q==" spinCount="100000" sheet="1" objects="1" scenarios="1"/>
  <protectedRanges>
    <protectedRange sqref="E9" name="balanceNeed"/>
    <protectedRange sqref="E29" name="colorBy"/>
    <protectedRange sqref="E26" name="axisY"/>
    <protectedRange sqref="E19" name="interMax"/>
    <protectedRange sqref="E18" name="interRerun"/>
    <protectedRange sqref="E17" name="interMethod"/>
    <protectedRange sqref="E11" name="silUpperBound"/>
    <protectedRange sqref="C11" name="silLowerBound"/>
    <protectedRange sqref="E8" name="kValue"/>
    <protectedRange sqref="E9:E10" name="silUsed"/>
    <protectedRange sqref="E25" name="axisX"/>
    <protectedRange sqref="E14" name="allowNor"/>
  </protectedRanges>
  <dataValidations count="10">
    <dataValidation type="whole" allowBlank="1" showInputMessage="1" showErrorMessage="1" promptTitle="Re-runs" prompt="Sets how many times the algorithm runs with different initial centroids to avoid local minima. It is ignored when using sequential initialization. The result with the lowest within-cluster sum of squares will be used." sqref="E18" xr:uid="{9675B89C-4939-47E6-B671-8319A3EB6AE9}">
      <formula1>0</formula1>
      <formula2>10</formula2>
    </dataValidation>
    <dataValidation type="whole" operator="greaterThanOrEqual" showInputMessage="1" showErrorMessage="1" errorTitle="Input invalid" error="The input number should be an integer greater than or equal to 50." promptTitle="Maximum iterations" prompt="Specifies the maximum number of iterations the algorithm will run before stopping, even if convergence hasn't been reached. This ensures that the algorithm doesn't run indefinitely." sqref="E19" xr:uid="{B517B797-AB5F-4677-BA23-4397FF377DD0}">
      <formula1>50</formula1>
    </dataValidation>
    <dataValidation type="list" showDropDown="1" showInputMessage="1" showErrorMessage="1" promptTitle="Standardize features" prompt="When checked, normalizes data so all features contribute equally to distance calculations. Recommended for K-means, as it improves clustering by ensuring all variables are on the same scale." sqref="E14" xr:uid="{F302D856-B454-453C-AF3F-80C285992B77}">
      <formula1>"TRUE,FALSE"</formula1>
    </dataValidation>
    <dataValidation type="list" showDropDown="1" showInputMessage="1" showErrorMessage="1" promptTitle="Balancing Cluster" prompt="Enables or disables the option to balance the clusters, ensuring that the resulting clusters have a roughly equal number of data points. When checked, the algorithm will attempt to assign data points more evenly across clusters." sqref="E9" xr:uid="{CD819A19-E756-4161-B289-7C8E4851F1AB}">
      <formula1>"TRUE, FALSE"</formula1>
    </dataValidation>
    <dataValidation type="whole" operator="greaterThanOrEqual" showInputMessage="1" showErrorMessage="1" error="The input should be a whole number greater than 1." sqref="C11" xr:uid="{C3917349-9720-4A6E-9E36-5024612768DC}">
      <formula1>2</formula1>
    </dataValidation>
    <dataValidation type="whole" operator="greaterThan" showInputMessage="1" showErrorMessage="1" error="The input should be a whole number greater than the lower bound of the range (cell C10)." sqref="E11" xr:uid="{54120684-59BC-4DF1-8B23-BCCB7906A4B3}">
      <formula1>C11</formula1>
    </dataValidation>
    <dataValidation type="whole" operator="greaterThanOrEqual" showDropDown="1" showInputMessage="1" showErrorMessage="1" sqref="E25:E26" xr:uid="{8C61817D-65EC-4854-848D-958D4472768B}">
      <formula1>1</formula1>
    </dataValidation>
    <dataValidation type="whole" operator="greaterThanOrEqual" allowBlank="1" showInputMessage="1" showErrorMessage="1" sqref="E29" xr:uid="{C07ADBA1-0765-418C-8BAF-205B74A50C13}">
      <formula1>1</formula1>
    </dataValidation>
    <dataValidation type="whole" operator="greaterThanOrEqual" showInputMessage="1" showErrorMessage="1" error="The input should be a whole number greater than 1." promptTitle="Specified K-Value" prompt=" Specifies the number of clusters (k) to divide the dataset into. The algorithm will attempt to find k distinct clusters in the data based on similarity." sqref="E8" xr:uid="{6989F3D9-C322-494B-88DD-645CD82A3D42}">
      <formula1>2</formula1>
    </dataValidation>
    <dataValidation type="list" showDropDown="1" showInputMessage="1" showErrorMessage="1" promptTitle="Use Silhouette Score" prompt="Use to enable or disable the evaluation of clustering quality using the silhouette score. When checked, the algorithm will compute and display the silhouette score after clustering corresponding to each k-value prescribed in the range below." sqref="E10" xr:uid="{6FE91FB1-69E7-4199-A0E7-B18BAB8701C6}">
      <formula1>"TRUE, 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1" r:id="rId3" name="Spinner 7">
              <controlPr defaultSize="0" autoPict="0">
                <anchor moveWithCells="1" sizeWithCells="1">
                  <from>
                    <xdr:col>1</xdr:col>
                    <xdr:colOff>541020</xdr:colOff>
                    <xdr:row>10</xdr:row>
                    <xdr:rowOff>15240</xdr:rowOff>
                  </from>
                  <to>
                    <xdr:col>1</xdr:col>
                    <xdr:colOff>716280</xdr:colOff>
                    <xdr:row>10</xdr:row>
                    <xdr:rowOff>182880</xdr:rowOff>
                  </to>
                </anchor>
              </controlPr>
            </control>
          </mc:Choice>
        </mc:AlternateContent>
        <mc:AlternateContent xmlns:mc="http://schemas.openxmlformats.org/markup-compatibility/2006">
          <mc:Choice Requires="x14">
            <control shapeId="1030" r:id="rId4" name="Spinner 6">
              <controlPr defaultSize="0" autoPict="0">
                <anchor moveWithCells="1" sizeWithCells="1">
                  <from>
                    <xdr:col>3</xdr:col>
                    <xdr:colOff>541020</xdr:colOff>
                    <xdr:row>10</xdr:row>
                    <xdr:rowOff>15240</xdr:rowOff>
                  </from>
                  <to>
                    <xdr:col>3</xdr:col>
                    <xdr:colOff>716280</xdr:colOff>
                    <xdr:row>10</xdr:row>
                    <xdr:rowOff>182880</xdr:rowOff>
                  </to>
                </anchor>
              </controlPr>
            </control>
          </mc:Choice>
        </mc:AlternateContent>
        <mc:AlternateContent xmlns:mc="http://schemas.openxmlformats.org/markup-compatibility/2006">
          <mc:Choice Requires="x14">
            <control shapeId="1032" r:id="rId5" name="Spinner 8">
              <controlPr defaultSize="0" autoPict="0">
                <anchor moveWithCells="1" sizeWithCells="1">
                  <from>
                    <xdr:col>3</xdr:col>
                    <xdr:colOff>541020</xdr:colOff>
                    <xdr:row>17</xdr:row>
                    <xdr:rowOff>15240</xdr:rowOff>
                  </from>
                  <to>
                    <xdr:col>3</xdr:col>
                    <xdr:colOff>716280</xdr:colOff>
                    <xdr:row>17</xdr:row>
                    <xdr:rowOff>182880</xdr:rowOff>
                  </to>
                </anchor>
              </controlPr>
            </control>
          </mc:Choice>
        </mc:AlternateContent>
        <mc:AlternateContent xmlns:mc="http://schemas.openxmlformats.org/markup-compatibility/2006">
          <mc:Choice Requires="x14">
            <control shapeId="1033" r:id="rId6" name="Spinner 9">
              <controlPr defaultSize="0" autoPict="0">
                <anchor moveWithCells="1" sizeWithCells="1">
                  <from>
                    <xdr:col>3</xdr:col>
                    <xdr:colOff>541020</xdr:colOff>
                    <xdr:row>18</xdr:row>
                    <xdr:rowOff>15240</xdr:rowOff>
                  </from>
                  <to>
                    <xdr:col>3</xdr:col>
                    <xdr:colOff>716280</xdr:colOff>
                    <xdr:row>18</xdr:row>
                    <xdr:rowOff>182880</xdr:rowOff>
                  </to>
                </anchor>
              </controlPr>
            </control>
          </mc:Choice>
        </mc:AlternateContent>
        <mc:AlternateContent xmlns:mc="http://schemas.openxmlformats.org/markup-compatibility/2006">
          <mc:Choice Requires="x14">
            <control shapeId="1038" r:id="rId7" name="Drop Down 14">
              <controlPr defaultSize="0" autoLine="0" autoPict="0">
                <anchor moveWithCells="1">
                  <from>
                    <xdr:col>4</xdr:col>
                    <xdr:colOff>0</xdr:colOff>
                    <xdr:row>16</xdr:row>
                    <xdr:rowOff>0</xdr:rowOff>
                  </from>
                  <to>
                    <xdr:col>5</xdr:col>
                    <xdr:colOff>15240</xdr:colOff>
                    <xdr:row>17</xdr:row>
                    <xdr:rowOff>0</xdr:rowOff>
                  </to>
                </anchor>
              </controlPr>
            </control>
          </mc:Choice>
        </mc:AlternateContent>
        <mc:AlternateContent xmlns:mc="http://schemas.openxmlformats.org/markup-compatibility/2006">
          <mc:Choice Requires="x14">
            <control shapeId="1045" r:id="rId8" name="Spinner 21">
              <controlPr defaultSize="0" autoPict="0">
                <anchor moveWithCells="1" sizeWithCells="1">
                  <from>
                    <xdr:col>3</xdr:col>
                    <xdr:colOff>533400</xdr:colOff>
                    <xdr:row>7</xdr:row>
                    <xdr:rowOff>15240</xdr:rowOff>
                  </from>
                  <to>
                    <xdr:col>3</xdr:col>
                    <xdr:colOff>708660</xdr:colOff>
                    <xdr:row>7</xdr:row>
                    <xdr:rowOff>182880</xdr:rowOff>
                  </to>
                </anchor>
              </controlPr>
            </control>
          </mc:Choice>
        </mc:AlternateContent>
        <mc:AlternateContent xmlns:mc="http://schemas.openxmlformats.org/markup-compatibility/2006">
          <mc:Choice Requires="x14">
            <control shapeId="1049" r:id="rId9" name="Drop Down 25">
              <controlPr defaultSize="0" autoLine="0" autoPict="0">
                <anchor moveWithCells="1">
                  <from>
                    <xdr:col>2</xdr:col>
                    <xdr:colOff>0</xdr:colOff>
                    <xdr:row>24</xdr:row>
                    <xdr:rowOff>0</xdr:rowOff>
                  </from>
                  <to>
                    <xdr:col>5</xdr:col>
                    <xdr:colOff>15240</xdr:colOff>
                    <xdr:row>25</xdr:row>
                    <xdr:rowOff>0</xdr:rowOff>
                  </to>
                </anchor>
              </controlPr>
            </control>
          </mc:Choice>
        </mc:AlternateContent>
        <mc:AlternateContent xmlns:mc="http://schemas.openxmlformats.org/markup-compatibility/2006">
          <mc:Choice Requires="x14">
            <control shapeId="1052" r:id="rId10" name="Drop Down 28">
              <controlPr defaultSize="0" autoLine="0" autoPict="0">
                <anchor moveWithCells="1">
                  <from>
                    <xdr:col>2</xdr:col>
                    <xdr:colOff>0</xdr:colOff>
                    <xdr:row>25</xdr:row>
                    <xdr:rowOff>0</xdr:rowOff>
                  </from>
                  <to>
                    <xdr:col>5</xdr:col>
                    <xdr:colOff>15240</xdr:colOff>
                    <xdr:row>26</xdr:row>
                    <xdr:rowOff>0</xdr:rowOff>
                  </to>
                </anchor>
              </controlPr>
            </control>
          </mc:Choice>
        </mc:AlternateContent>
        <mc:AlternateContent xmlns:mc="http://schemas.openxmlformats.org/markup-compatibility/2006">
          <mc:Choice Requires="x14">
            <control shapeId="1053" r:id="rId11" name="Drop Down 29">
              <controlPr defaultSize="0" autoLine="0" autoPict="0">
                <anchor moveWithCells="1">
                  <from>
                    <xdr:col>2</xdr:col>
                    <xdr:colOff>0</xdr:colOff>
                    <xdr:row>28</xdr:row>
                    <xdr:rowOff>0</xdr:rowOff>
                  </from>
                  <to>
                    <xdr:col>5</xdr:col>
                    <xdr:colOff>15240</xdr:colOff>
                    <xdr:row>29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DropDown="1" showInputMessage="1" showErrorMessage="1" errorTitle="Method Invalid" error="Please input interger from 1 to 3._x000a_1: k-means++_x000a_2: sequential_x000a_3: random" promptTitle="Methods of Initialization" prompt="There are 3 methods you can choose from:_x000a_Number 1: k-means++ (recommended)_x000a_Number 2: sequential (guarantee same result)_x000a_Number 3: random" xr:uid="{85309EBB-2485-4BB8-B538-D45A7C116136}">
          <x14:formula1>
            <xm:f>Data_Internal!$F$2:$F$4</xm:f>
          </x14:formula1>
          <xm:sqref>E17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BBBE0-8FFF-43BE-AACB-7AB137735AF8}">
  <sheetPr codeName="Sheet4">
    <tabColor rgb="FF7030A0"/>
  </sheetPr>
  <dimension ref="A1"/>
  <sheetViews>
    <sheetView zoomScaleNormal="100" workbookViewId="0">
      <pane ySplit="1" topLeftCell="A2" activePane="bottomLeft" state="frozen"/>
      <selection pane="bottomLeft"/>
    </sheetView>
  </sheetViews>
  <sheetFormatPr defaultColWidth="9.08984375" defaultRowHeight="14.4" customHeight="1" x14ac:dyDescent="0.35"/>
  <cols>
    <col min="1" max="15" width="9.08984375" customWidth="1"/>
  </cols>
  <sheetData>
    <row r="1" spans="1:1" s="41" customFormat="1" ht="26.4" customHeight="1" x14ac:dyDescent="0.35">
      <c r="A1" s="37" t="s">
        <v>100</v>
      </c>
    </row>
  </sheetData>
  <sheetProtection algorithmName="SHA-512" hashValue="fHcGaxfP9oPUcGgmddHCK+x6WXHEXvHUvBiRXdhW9bCmGljepJv1I81isRxfGRqQ/7bL6nHR3CaiL+Js98z2qw==" saltValue="/wLT+IP9Qfo3uFFtEls12g==" spinCount="100000" sheet="1" objects="1" scenarios="1" autoFilter="0"/>
  <phoneticPr fontId="10"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C0160-22A6-41F2-B9D3-A032282874E6}">
  <sheetPr codeName="Sheet5"/>
  <dimension ref="A1"/>
  <sheetViews>
    <sheetView zoomScaleNormal="100" workbookViewId="0">
      <pane ySplit="1" topLeftCell="A2" activePane="bottomLeft" state="frozen"/>
      <selection pane="bottomLeft" activeCell="F7" sqref="F7"/>
    </sheetView>
  </sheetViews>
  <sheetFormatPr defaultColWidth="9.08984375" defaultRowHeight="14.4" customHeight="1" x14ac:dyDescent="0.35"/>
  <cols>
    <col min="1" max="20" width="9.08984375" customWidth="1"/>
    <col min="22" max="63" width="9.08984375" customWidth="1"/>
  </cols>
  <sheetData>
    <row r="1" spans="1:1" s="41" customFormat="1" ht="26.4" customHeight="1" x14ac:dyDescent="0.35">
      <c r="A1" s="37"/>
    </row>
  </sheetData>
  <sheetProtection algorithmName="SHA-512" hashValue="z0+OkxGfD2wf+Z4faViTZUoxxQ+V3mUVDIiWbjbhTmLeJKmP96nG50zcDs8Cir0Xvzv6BSAaGdfdzxgOGdwrvw==" saltValue="ggZyAIAkOQ5TmocFmRNgPg==" spinCount="100000" sheet="1" objects="1" scenarios="1"/>
  <phoneticPr fontId="10"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85405-432C-47DD-B4A7-926A4FCCC430}">
  <sheetPr codeName="Sheet7"/>
  <dimension ref="A1"/>
  <sheetViews>
    <sheetView zoomScaleNormal="100" workbookViewId="0">
      <pane ySplit="1" topLeftCell="A2" activePane="bottomLeft" state="frozen"/>
      <selection pane="bottomLeft" activeCell="C2" sqref="C2"/>
    </sheetView>
  </sheetViews>
  <sheetFormatPr defaultColWidth="9.08984375" defaultRowHeight="14.4" customHeight="1" x14ac:dyDescent="0.35"/>
  <cols>
    <col min="1" max="11" width="9.08984375" customWidth="1"/>
  </cols>
  <sheetData>
    <row r="1" spans="1:1" s="41" customFormat="1" ht="26.4" customHeight="1" x14ac:dyDescent="0.35">
      <c r="A1" s="37"/>
    </row>
  </sheetData>
  <sheetProtection algorithmName="SHA-512" hashValue="ilrrfyeKtHwKNYlpI1ushOJlwPVdRdaBpp3IfwfmSTVjOSUSu/Bc/zXGuX0eRU7VlpZEzQksXsaj4/+EsUiX2w==" saltValue="elyvkikDEQTUmxzY9kUDAg==" spinCount="100000" sheet="1" objects="1" scenario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B3CD2-CD25-426C-9C53-66E4D765DAA7}">
  <sheetPr codeName="Sheet11">
    <tabColor rgb="FF7030A0"/>
  </sheetPr>
  <dimension ref="A1:P11"/>
  <sheetViews>
    <sheetView zoomScaleNormal="100" workbookViewId="0">
      <selection activeCell="C3" sqref="C3"/>
    </sheetView>
  </sheetViews>
  <sheetFormatPr defaultColWidth="9.08984375" defaultRowHeight="14.4" customHeight="1" x14ac:dyDescent="0.35"/>
  <cols>
    <col min="1" max="1" width="9.08984375" style="85"/>
    <col min="2" max="2" width="9.08984375" style="84"/>
    <col min="3" max="4" width="9.08984375" style="84" customWidth="1"/>
    <col min="5" max="6" width="9.08984375" style="84"/>
    <col min="7" max="7" width="9.36328125" style="84" bestFit="1" customWidth="1"/>
    <col min="8" max="8" width="9.81640625" style="84" bestFit="1" customWidth="1"/>
    <col min="9" max="16384" width="9.08984375" style="84"/>
  </cols>
  <sheetData>
    <row r="1" spans="1:16" s="77" customFormat="1" ht="26.4" customHeight="1" x14ac:dyDescent="0.35">
      <c r="B1" s="82"/>
    </row>
    <row r="2" spans="1:16" s="2" customFormat="1" ht="15" thickBot="1" x14ac:dyDescent="0.4">
      <c r="B2" s="76" t="s">
        <v>99</v>
      </c>
      <c r="H2" s="76" t="s">
        <v>97</v>
      </c>
    </row>
    <row r="3" spans="1:16" s="2" customFormat="1" ht="24" customHeight="1" thickBot="1" x14ac:dyDescent="0.4">
      <c r="B3" s="54" t="s">
        <v>85</v>
      </c>
      <c r="C3" s="83">
        <v>1</v>
      </c>
      <c r="D3" s="33" t="s">
        <v>65</v>
      </c>
      <c r="E3" s="58"/>
      <c r="F3" s="77"/>
      <c r="H3" s="31"/>
      <c r="I3" s="31"/>
      <c r="J3" s="31"/>
      <c r="K3" s="31"/>
      <c r="L3" s="31"/>
      <c r="M3" s="31"/>
      <c r="N3" s="31"/>
      <c r="O3" s="31"/>
      <c r="P3" s="31"/>
    </row>
    <row r="4" spans="1:16" s="2" customFormat="1" ht="15.6" x14ac:dyDescent="0.35">
      <c r="B4" s="76" t="s">
        <v>64</v>
      </c>
      <c r="G4" s="77"/>
      <c r="H4" s="31"/>
      <c r="I4" s="31"/>
      <c r="J4" s="31"/>
      <c r="K4" s="31"/>
      <c r="L4" s="31"/>
      <c r="M4" s="31"/>
      <c r="N4" s="31"/>
      <c r="O4" s="31"/>
      <c r="P4" s="31"/>
    </row>
    <row r="5" spans="1:16" s="2" customFormat="1" ht="24" customHeight="1" x14ac:dyDescent="0.35">
      <c r="B5" s="55" t="s">
        <v>98</v>
      </c>
      <c r="C5" s="57"/>
      <c r="D5" s="55" t="s">
        <v>63</v>
      </c>
      <c r="E5" s="56"/>
      <c r="F5" s="60"/>
      <c r="G5" s="77"/>
      <c r="H5" s="31"/>
      <c r="I5" s="31"/>
      <c r="J5" s="31"/>
      <c r="K5" s="31"/>
      <c r="L5" s="31"/>
      <c r="M5" s="31"/>
      <c r="N5" s="31"/>
      <c r="O5" s="31"/>
      <c r="P5" s="31"/>
    </row>
    <row r="6" spans="1:16" s="2" customFormat="1" x14ac:dyDescent="0.35">
      <c r="A6" s="77"/>
      <c r="B6" s="78"/>
      <c r="C6" s="77"/>
      <c r="D6" s="79"/>
      <c r="E6" s="77"/>
      <c r="G6" s="77"/>
      <c r="H6" s="80"/>
      <c r="I6" s="77"/>
      <c r="J6" s="77"/>
      <c r="K6" s="81"/>
    </row>
    <row r="7" spans="1:16" s="75" customFormat="1" ht="18" x14ac:dyDescent="0.35">
      <c r="A7" s="39" t="s">
        <v>96</v>
      </c>
    </row>
    <row r="8" spans="1:16" s="59" customFormat="1" ht="24" customHeight="1" thickBot="1" x14ac:dyDescent="0.4"/>
    <row r="9" spans="1:16" ht="14.4" customHeight="1" x14ac:dyDescent="0.35">
      <c r="A9" s="86"/>
      <c r="B9" s="87"/>
      <c r="C9" s="87"/>
      <c r="D9" s="87"/>
      <c r="E9" s="87"/>
    </row>
    <row r="10" spans="1:16" ht="14.4" customHeight="1" x14ac:dyDescent="0.35">
      <c r="A10" s="86"/>
      <c r="B10" s="87"/>
      <c r="C10" s="87"/>
      <c r="D10" s="87"/>
      <c r="E10" s="87"/>
    </row>
    <row r="11" spans="1:16" ht="14.4" customHeight="1" x14ac:dyDescent="0.35">
      <c r="A11" s="86"/>
      <c r="B11" s="87"/>
      <c r="C11" s="87"/>
      <c r="D11" s="87"/>
      <c r="E11" s="87"/>
    </row>
  </sheetData>
  <sheetProtection algorithmName="SHA-512" hashValue="lNvcq0m0hldVAVkKc2JcLheCgNXjZm0BrsTgsThbMG5XJ1owxuKCRiZDWTvYnnfmsgApQrXaCMQzV6H/ugB4ew==" saltValue="Pbme3AezGB+1vmGGETEHug==" spinCount="100000" sheet="1" objects="1" scenarios="1"/>
  <protectedRanges>
    <protectedRange sqref="C3 B6" name="interTrace"/>
  </protectedRanges>
  <conditionalFormatting sqref="E5 J4:J6">
    <cfRule type="containsText" dxfId="1" priority="1" operator="containsText" text="true">
      <formula>NOT(ISERROR(SEARCH("true",E4)))</formula>
    </cfRule>
    <cfRule type="iconSet" priority="2">
      <iconSet iconSet="3Symbols">
        <cfvo type="percent" val="0"/>
        <cfvo type="percent" val="33"/>
        <cfvo type="percent" val="67"/>
      </iconSet>
    </cfRule>
  </conditionalFormatting>
  <dataValidations count="3">
    <dataValidation type="whole" showInputMessage="1" showErrorMessage="1" error="Please enter a whole number starting from 1." promptTitle="About" prompt="The whole number in this cell represents the iteration that you want to get the centroids and their related status (SSE and Convergence)._x000a__x000a_Note: SSE stands for &quot;Sum Squared of Error&quot;." sqref="B6 C4" xr:uid="{79878E41-5C64-44FE-846E-8493A9FE2696}">
      <formula1>1</formula1>
      <formula2>16384</formula2>
    </dataValidation>
    <dataValidation allowBlank="1" showInputMessage="1" showErrorMessage="1" prompt="If this cell is blank, the k-means clustering algorithm has not been implemented._x000a_If not it is the total iteration required in the clustering process." sqref="D6 E3:E4" xr:uid="{2B7385C2-0BB6-4FCE-82E7-203A7700991E}"/>
    <dataValidation type="whole" showInputMessage="1" showErrorMessage="1" error="Please enter a whole number starting from 1." promptTitle="About" prompt="The whole number in this cell represents the iteration that you want to get the centroids and their related status WCSS and Convergence)._x000a__x000a_Note: WCSS stands for &quot;Within Clustet Sum of Squared&quot;._x000a_Pressing UP/Down arrow key to increase/decrease the value." sqref="C3" xr:uid="{E9D1CF3C-DAB6-4DF4-931A-8562E0B10BFF}">
      <formula1>1</formula1>
      <formula2>16384</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8424C-2AC9-44D8-ABF9-761E8316BEDF}">
  <sheetPr codeName="Sheet8">
    <tabColor rgb="FF7030A0"/>
  </sheetPr>
  <dimension ref="A1"/>
  <sheetViews>
    <sheetView workbookViewId="0">
      <selection activeCell="H19" sqref="H19"/>
    </sheetView>
  </sheetViews>
  <sheetFormatPr defaultColWidth="9.08984375" defaultRowHeight="14.4" customHeight="1" x14ac:dyDescent="0.35"/>
  <cols>
    <col min="1" max="9" width="9.08984375" customWidth="1"/>
  </cols>
  <sheetData>
    <row r="1" spans="1:1" s="41" customFormat="1" ht="26.4" customHeight="1" x14ac:dyDescent="0.35">
      <c r="A1" s="37"/>
    </row>
  </sheetData>
  <sheetProtection algorithmName="SHA-512" hashValue="Crn3b11Y1W1yTOvzWVwxqe/Jv2ooa+1cYaqqCKykcgMu5ir6EkUAgvz4rmqP6LwG5X4hFyq5QwJ7Am5/jdHKNg==" saltValue="3Fz8m4co+0erlOswcKHt5Q==" spinCount="100000" sheet="1" objects="1" scenario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8F65-BCFE-49E5-BB4D-1F1FFEF61E89}">
  <sheetPr codeName="Sheet9"/>
  <dimension ref="A1"/>
  <sheetViews>
    <sheetView zoomScaleNormal="100" workbookViewId="0">
      <selection activeCell="G3" sqref="G3"/>
    </sheetView>
  </sheetViews>
  <sheetFormatPr defaultColWidth="9.08984375" defaultRowHeight="14.4" customHeight="1" x14ac:dyDescent="0.35"/>
  <cols>
    <col min="3" max="4" width="9.08984375" customWidth="1"/>
  </cols>
  <sheetData>
    <row r="1" spans="1:1" s="41" customFormat="1" ht="26.4" customHeight="1" x14ac:dyDescent="0.35">
      <c r="A1" s="37"/>
    </row>
  </sheetData>
  <sheetProtection algorithmName="SHA-512" hashValue="uegRnt3NwUWs3wn2FTAa9uVL5FbCRiX2o3j4LXFzJcHNHFUg9tN++lljIpRQe2mZI44zm9QFt3VEU0H/DpiOIQ==" saltValue="/JpnBeVB/p+UYnKxZ6HI5A==" spinCount="100000" sheet="1" objects="1" scenario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AEA0-73FA-4A3F-9523-1AD2DA462AA8}">
  <sheetPr codeName="Sheet6"/>
  <dimension ref="A1"/>
  <sheetViews>
    <sheetView zoomScale="65" workbookViewId="0">
      <selection activeCell="E2" sqref="E2"/>
    </sheetView>
  </sheetViews>
  <sheetFormatPr defaultColWidth="9.08984375" defaultRowHeight="14.4" customHeight="1" x14ac:dyDescent="0.35"/>
  <sheetData>
    <row r="1" spans="1:1" s="41" customFormat="1" ht="26.4" customHeight="1" x14ac:dyDescent="0.35">
      <c r="A1" s="37"/>
    </row>
  </sheetData>
  <sheetProtection algorithmName="SHA-512" hashValue="3nGoFqdcXOl4dwlMAlhPN4CBEDXBB08kt2/aylKYPIy4MsLHqHX4WMN21SQMmGHMjc5WwFz2xKRwKvC2gagKpA==" saltValue="j08jppdwGJytxQmFolWWag=="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A2483-059F-41C7-99B4-2957A95E93FD}">
  <sheetPr codeName="Sheet10"/>
  <dimension ref="A1"/>
  <sheetViews>
    <sheetView workbookViewId="0">
      <selection activeCell="B2" sqref="B2"/>
    </sheetView>
  </sheetViews>
  <sheetFormatPr defaultColWidth="9.08984375" defaultRowHeight="14.4" customHeight="1" x14ac:dyDescent="0.35"/>
  <sheetData>
    <row r="1" spans="1:1" s="41" customFormat="1" ht="26.4" customHeight="1" x14ac:dyDescent="0.35">
      <c r="A1" s="37"/>
    </row>
  </sheetData>
  <sheetProtection algorithmName="SHA-512" hashValue="SZIK1rfy69wRzUxitc86Xn1QLIfuTKStlNdJAMUN90RRqeUkVg1s+5Sc4FULeieFihIO9v/VPm5P1RsNrB4Elg==" saltValue="wlXXdlWLViCkbhqywA60jQ==" spinCount="100000" sheet="1" objects="1" scenarios="1"/>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34</vt:i4>
      </vt:variant>
    </vt:vector>
  </HeadingPairs>
  <TitlesOfParts>
    <vt:vector size="45" baseType="lpstr">
      <vt:lpstr>Data_Internal</vt:lpstr>
      <vt:lpstr>ABOUT</vt:lpstr>
      <vt:lpstr>HOME</vt:lpstr>
      <vt:lpstr>RESULT_TABLE</vt:lpstr>
      <vt:lpstr>Raw_Data</vt:lpstr>
      <vt:lpstr>Standard</vt:lpstr>
      <vt:lpstr>Centroid</vt:lpstr>
      <vt:lpstr>Distance</vt:lpstr>
      <vt:lpstr>Progress_hist</vt:lpstr>
      <vt:lpstr>alg_Internal</vt:lpstr>
      <vt:lpstr>chart_Internal</vt:lpstr>
      <vt:lpstr>allowNormal</vt:lpstr>
      <vt:lpstr>axisX</vt:lpstr>
      <vt:lpstr>axisY</vt:lpstr>
      <vt:lpstr>balanceNeed</vt:lpstr>
      <vt:lpstr>cBlank</vt:lpstr>
      <vt:lpstr>cDuplicated</vt:lpstr>
      <vt:lpstr>colCluster</vt:lpstr>
      <vt:lpstr>colorBy</vt:lpstr>
      <vt:lpstr>colRaw</vt:lpstr>
      <vt:lpstr>correctAssignment</vt:lpstr>
      <vt:lpstr>Raw_Data!ExternalData_1</vt:lpstr>
      <vt:lpstr>Raw_Data!ExternalData_2</vt:lpstr>
      <vt:lpstr>Raw_Data!ExternalData_3</vt:lpstr>
      <vt:lpstr>Raw_Data!ExternalData_4</vt:lpstr>
      <vt:lpstr>Raw_Data!ExternalData_5</vt:lpstr>
      <vt:lpstr>Raw_Data!ExternalData_6</vt:lpstr>
      <vt:lpstr>finalIteration</vt:lpstr>
      <vt:lpstr>InitialMethod</vt:lpstr>
      <vt:lpstr>iterMax</vt:lpstr>
      <vt:lpstr>iterRerun</vt:lpstr>
      <vt:lpstr>iterTrace</vt:lpstr>
      <vt:lpstr>kValue</vt:lpstr>
      <vt:lpstr>rDuplicated</vt:lpstr>
      <vt:lpstr>rMismatched</vt:lpstr>
      <vt:lpstr>rMissing</vt:lpstr>
      <vt:lpstr>rowCluster</vt:lpstr>
      <vt:lpstr>rowRaw</vt:lpstr>
      <vt:lpstr>silLowerBound</vt:lpstr>
      <vt:lpstr>silUpperBound</vt:lpstr>
      <vt:lpstr>silUsed</vt:lpstr>
      <vt:lpstr>SSE</vt:lpstr>
      <vt:lpstr>Status_list</vt:lpstr>
      <vt:lpstr>statusCell</vt:lpstr>
      <vt:lpstr>statusCnvrg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Triet Dao</dc:creator>
  <cp:lastModifiedBy>Triet Dao</cp:lastModifiedBy>
  <cp:lastPrinted>2025-02-06T18:19:33Z</cp:lastPrinted>
  <dcterms:created xsi:type="dcterms:W3CDTF">2025-01-26T08:54:43Z</dcterms:created>
  <dcterms:modified xsi:type="dcterms:W3CDTF">2025-02-17T17:46:08Z</dcterms:modified>
</cp:coreProperties>
</file>